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IBFC\Desktop\dio\desafios_de_projeto\"/>
    </mc:Choice>
  </mc:AlternateContent>
  <xr:revisionPtr revIDLastSave="0" documentId="13_ncr:1_{24836A3C-1521-43F7-BE71-E1C664295C23}" xr6:coauthVersionLast="47" xr6:coauthVersionMax="47" xr10:uidLastSave="{00000000-0000-0000-0000-000000000000}"/>
  <bookViews>
    <workbookView xWindow="-108" yWindow="-108" windowWidth="23256" windowHeight="12456" tabRatio="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0" i="3" l="1"/>
  <c r="G18" i="3"/>
</calcChain>
</file>

<file path=xl/sharedStrings.xml><?xml version="1.0" encoding="utf-8"?>
<sst xmlns="http://schemas.openxmlformats.org/spreadsheetml/2006/main" count="2021" uniqueCount="323">
  <si>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</si>
  <si>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</si>
  <si>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</si>
  <si>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</si>
  <si>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</si>
  <si>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</si>
  <si>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</si>
  <si>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</si>
  <si>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</si>
  <si>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</si>
  <si>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</si>
  <si>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</si>
  <si>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</si>
  <si>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</si>
  <si>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</si>
  <si>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</si>
  <si>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</si>
  <si>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</si>
  <si>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</si>
  <si>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</si>
  <si>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</si>
  <si>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</si>
  <si>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</si>
  <si>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</si>
  <si>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</si>
  <si>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</si>
  <si>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</si>
  <si>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</si>
  <si>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</si>
  <si>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</si>
  <si>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</si>
  <si>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</si>
  <si>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</si>
  <si>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</si>
  <si>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</si>
  <si>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</si>
  <si>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</si>
  <si>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</si>
  <si>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</si>
  <si>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</si>
  <si>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</si>
  <si>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</si>
  <si>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</si>
  <si>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</si>
  <si>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</si>
  <si>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</si>
  <si>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</si>
  <si>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</si>
  <si>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</si>
  <si>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</si>
  <si>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</si>
  <si>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</si>
  <si>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</si>
  <si>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</si>
  <si>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</si>
  <si>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</si>
  <si>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</si>
  <si>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</si>
  <si>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</si>
  <si>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</si>
  <si>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</si>
  <si>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</si>
  <si>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</si>
  <si>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</si>
  <si>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</si>
  <si>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</si>
  <si>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</si>
  <si>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</si>
  <si>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</si>
  <si>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</si>
  <si>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</si>
  <si>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</si>
  <si>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</si>
  <si>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</si>
  <si>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</si>
  <si>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</si>
  <si>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</si>
  <si>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</si>
  <si>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</si>
  <si>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</si>
  <si>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</si>
  <si>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</si>
  <si>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</si>
  <si>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</si>
  <si>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</si>
  <si>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</si>
  <si>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</si>
  <si>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</si>
  <si>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</si>
  <si>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</si>
  <si>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</si>
  <si>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</si>
  <si>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</si>
  <si>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</si>
  <si>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</si>
  <si>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</si>
  <si>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</si>
  <si>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</si>
  <si>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</si>
  <si>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</si>
  <si>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</si>
  <si>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</si>
  <si>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</si>
  <si>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</si>
  <si>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</si>
  <si>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</si>
  <si>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</si>
  <si>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</si>
  <si>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</si>
  <si>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</si>
  <si>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</si>
  <si>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</si>
  <si>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</si>
  <si>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</si>
  <si>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</si>
  <si>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</si>
  <si>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</si>
  <si>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</si>
  <si>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</si>
  <si>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</si>
  <si>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</si>
  <si>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</si>
  <si>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</si>
  <si>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</si>
  <si>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</si>
  <si>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</si>
  <si>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</si>
  <si>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</si>
  <si>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</si>
  <si>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</si>
  <si>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</si>
  <si>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</si>
  <si>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</si>
  <si>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</si>
  <si>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</si>
  <si>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</si>
  <si>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</si>
  <si>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</si>
  <si>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</si>
  <si>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</si>
  <si>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</si>
  <si>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</si>
  <si>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</si>
  <si>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</si>
  <si>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</si>
  <si>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</si>
  <si>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</si>
  <si>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</si>
  <si>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</si>
  <si>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</si>
  <si>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</si>
  <si>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</si>
  <si>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</si>
  <si>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</si>
  <si>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</si>
  <si>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</si>
  <si>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</si>
  <si>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</si>
  <si>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</si>
  <si>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</si>
  <si>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</si>
  <si>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</si>
  <si>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</si>
  <si>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</si>
  <si>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</si>
  <si>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</si>
  <si>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</si>
  <si>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</si>
  <si>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</si>
  <si>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</si>
  <si>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</si>
  <si>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</si>
  <si>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</si>
  <si>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</si>
  <si>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</si>
  <si>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</si>
  <si>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</si>
  <si>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</si>
  <si>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</si>
  <si>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</si>
  <si>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</si>
  <si>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</si>
  <si>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</si>
  <si>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</si>
  <si>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</si>
  <si>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</si>
  <si>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</si>
  <si>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</si>
  <si>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</si>
  <si>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</si>
  <si>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</si>
  <si>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</si>
  <si>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</si>
  <si>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</si>
  <si>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</si>
  <si>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</si>
  <si>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</si>
  <si>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</si>
  <si>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</si>
  <si>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</si>
  <si>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</si>
  <si>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</si>
  <si>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</si>
  <si>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</si>
  <si>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</si>
  <si>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</si>
  <si>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</si>
  <si>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</si>
  <si>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</si>
  <si>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</si>
  <si>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</si>
  <si>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</si>
  <si>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</si>
  <si>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</si>
  <si>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</si>
  <si>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</si>
  <si>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</si>
  <si>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</si>
  <si>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</si>
  <si>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</si>
  <si>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</si>
  <si>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</si>
  <si>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</si>
  <si>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</si>
  <si>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</si>
  <si>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</si>
  <si>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</si>
  <si>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</si>
  <si>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</si>
  <si>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</si>
  <si>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</si>
  <si>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</si>
  <si>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</si>
  <si>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</si>
  <si>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</si>
  <si>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</si>
  <si>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</si>
  <si>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</si>
  <si>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</si>
  <si>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</si>
  <si>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</si>
  <si>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</si>
  <si>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</si>
  <si>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</si>
  <si>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</si>
  <si>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</si>
  <si>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</si>
  <si>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</si>
  <si>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</si>
  <si>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</si>
  <si>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</si>
  <si>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</si>
  <si>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</si>
  <si>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</si>
  <si>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</si>
  <si>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</si>
  <si>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</si>
  <si>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</si>
  <si>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</si>
  <si>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</si>
  <si>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</si>
  <si>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</si>
  <si>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</si>
  <si>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</si>
  <si>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</si>
  <si>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</si>
  <si>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</si>
  <si>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</si>
  <si>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</si>
  <si>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</si>
  <si>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</si>
  <si>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</si>
  <si>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</si>
  <si>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</si>
  <si>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</si>
  <si>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</si>
  <si>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</si>
  <si>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</si>
  <si>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</si>
  <si>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</si>
  <si>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</si>
  <si>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</si>
  <si>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</si>
  <si>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</si>
  <si>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</si>
  <si>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</si>
  <si>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</si>
  <si>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</si>
  <si>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</si>
  <si>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</si>
  <si>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</si>
  <si>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</si>
  <si>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</si>
  <si>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</si>
  <si>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</si>
  <si>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</si>
  <si>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</si>
  <si>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</si>
  <si>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</si>
  <si>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</si>
  <si>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</si>
  <si>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</si>
  <si>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</si>
  <si>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</si>
  <si>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</si>
  <si>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</si>
  <si>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</si>
  <si>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</si>
  <si>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</si>
  <si>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</si>
  <si>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</si>
  <si>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</si>
  <si>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</si>
  <si>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Pergunta de negócio 1 - Qual faturamento total de vendas de planos anuais (contando todas as assinaturas agregadas)</t>
  </si>
  <si>
    <t>Rótulos de Linha</t>
  </si>
  <si>
    <t>Total Geral</t>
  </si>
  <si>
    <t>Soma de Total Value</t>
  </si>
  <si>
    <t>Pergunta de negócio 2 - Qual faturamento total de vendas de planos anuais, separado por auto renovação e não auto renovação</t>
  </si>
  <si>
    <t>XBOX GAME PASS SUBSCRIPTION SALES</t>
  </si>
  <si>
    <t>Pergunta de negócio 3 - Total de vendas da assinatura EA play</t>
  </si>
  <si>
    <t>Soma de EA Play Season Pass</t>
  </si>
  <si>
    <t>Pergunta de negócio 3 - Total de vendas da assinatura Minecraft season pass</t>
  </si>
  <si>
    <t>Soma de Minecraft Season Pass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</si>
</sst>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2"/>
      <color theme="1"/>
      <name val="Aptos Narrow"/>
      <family val="2"/>
      <scheme val="minor"/>
    </font>
    <font>
      <sz val="11"/>
      <color rgb="FF638428"/>
      <name val="Aptos Narrow"/>
      <family val="2"/>
      <scheme val="minor"/>
    </font>
    <font>
      <b/>
      <sz val="22"/>
      <color rgb="FF22C55E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rgb="FF638428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" fontId="0" fillId="0" borderId="0" xfId="0" applyNumberFormat="1"/>
    <xf numFmtId="164" fontId="0" fillId="0" borderId="0" xfId="0" applyNumberFormat="1"/>
    <xf numFmtId="0" fontId="0" fillId="7" borderId="0" xfId="0" applyFill="1" applyAlignment="1">
      <alignment horizontal="left"/>
    </xf>
    <xf numFmtId="0" fontId="5" fillId="0" borderId="0" xfId="0" applyFont="1"/>
    <xf numFmtId="0" fontId="4" fillId="0" borderId="2" xfId="0" applyFont="1" applyBorder="1"/>
    <xf numFmtId="0" fontId="6" fillId="0" borderId="2" xfId="1" applyFont="1" applyBorder="1"/>
  </cellXfs>
  <cellStyles count="3">
    <cellStyle name="Moeda" xfId="2" builtinId="4"/>
    <cellStyle name="Normal" xfId="0" builtinId="0"/>
    <cellStyle name="Título 1" xfId="1" builtinId="16"/>
  </cellStyles>
  <dxfs count="162"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/>
        <i val="0"/>
        <sz val="12"/>
        <color theme="0"/>
        <name val="Selawik Semibold"/>
        <family val="2"/>
        <scheme val="none"/>
      </font>
    </dxf>
    <dxf>
      <font>
        <sz val="14"/>
      </font>
      <fill>
        <patternFill>
          <bgColor rgb="FF22C55E"/>
        </patternFill>
      </fill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sz val="14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sz val="12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3" defaultTableStyle="TableStyleMedium2" defaultPivotStyle="PivotStyleLight16">
    <tableStyle name="Estilo de Segmentação de Dados 1" pivot="0" table="0" count="4" xr9:uid="{FBBD6E35-797E-444D-8126-8C0FD6F5CA02}">
      <tableStyleElement type="wholeTable" dxfId="73"/>
      <tableStyleElement type="headerRow" dxfId="72"/>
    </tableStyle>
    <tableStyle name="Estilo de Segmentação de Dados 2" pivot="0" table="0" count="1" xr9:uid="{71B8A2CC-18CC-4EA4-B25A-6355F9CEE540}">
      <tableStyleElement type="wholeTable" dxfId="115"/>
    </tableStyle>
    <tableStyle name="Estilo de Segmentação de Dados 3" pivot="0" table="0" count="1" xr9:uid="{C12E947C-FFAF-4199-8900-36A6E1FE1E87}">
      <tableStyleElement type="wholeTable" dxfId="98"/>
    </tableStyle>
  </tableStyles>
  <colors>
    <mruColors>
      <color rgb="FF22C55E"/>
      <color rgb="FFE8E6E9"/>
      <color rgb="FF638428"/>
      <color rgb="FF9BC848"/>
      <color rgb="FF2AE6B1"/>
      <color rgb="FF5BF6A8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10">
        <dxf>
          <fill>
            <patternFill>
              <bgColor theme="0" tint="-0.14996795556505021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4.9989318521683403E-2"/>
            </patternFill>
          </fill>
        </dxf>
        <dxf>
          <fill>
            <patternFill>
              <bgColor theme="0" tint="-0.14996795556505021"/>
            </patternFill>
          </fill>
        </dxf>
        <dxf>
          <fill>
            <patternFill>
              <bgColor theme="0" tint="-4.9989318521683403E-2"/>
            </patternFill>
          </fill>
        </dxf>
      </x14:dxfs>
    </ext>
    <ext xmlns:x14="http://schemas.microsoft.com/office/spreadsheetml/2009/9/main" uri="{EB79DEF2-80B8-43e5-95BD-54CBDDF9020C}">
      <x14:slicerStyles defaultSlicerStyle="Estilo de Segmentação de Dados 1">
        <x14:slicerStyle name="Estilo de Segmentação de Dados 1">
          <x14:slicerStyleElements>
            <x14:slicerStyleElement type="selectedItemWithData" dxfId="1"/>
            <x14:slicerStyleElement type="selectedItemWithNoData" dxfId="0"/>
          </x14:slicerStyleElements>
        </x14:slicerStyle>
        <x14:slicerStyle name="Estilo de Segmentação de Dados 2"/>
        <x14:slicerStyle name="Estilo de Segmentação de Dados 3"/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[desafio_de_projeto_3.xlsx]C̳álculos!tbl_renovation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6.1331583552055993E-2"/>
          <c:y val="0.10181007708644725"/>
          <c:w val="0.93866841644794397"/>
          <c:h val="0.7737849882858602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cat>
            <c:strRef>
              <c:f>C̳álculos!$B$9:$B$11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C̳álculos!$C$9:$C$11</c:f>
              <c:numCache>
                <c:formatCode>_("R$"* #,##0.00_);_("R$"* \(#,##0.00\);_("R$"* "-"??_);_(@_)</c:formatCode>
                <c:ptCount val="2"/>
                <c:pt idx="0">
                  <c:v>217</c:v>
                </c:pt>
                <c:pt idx="1">
                  <c:v>1537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07-49A5-BBE8-F1CA1287B4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6900255"/>
        <c:axId val="1197275151"/>
      </c:barChart>
      <c:catAx>
        <c:axId val="12069002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7275151"/>
        <c:crosses val="autoZero"/>
        <c:auto val="1"/>
        <c:lblAlgn val="ctr"/>
        <c:lblOffset val="100"/>
        <c:noMultiLvlLbl val="0"/>
      </c:catAx>
      <c:valAx>
        <c:axId val="1197275151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206900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chart" Target="../charts/chart1.xml"/><Relationship Id="rId1" Type="http://schemas.openxmlformats.org/officeDocument/2006/relationships/image" Target="../media/image2.png"/><Relationship Id="rId6" Type="http://schemas.openxmlformats.org/officeDocument/2006/relationships/image" Target="../media/image10.svg"/><Relationship Id="rId5" Type="http://schemas.openxmlformats.org/officeDocument/2006/relationships/image" Target="../media/image9.png"/><Relationship Id="rId4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9</xdr:row>
      <xdr:rowOff>0</xdr:rowOff>
    </xdr:from>
    <xdr:to>
      <xdr:col>11</xdr:col>
      <xdr:colOff>304800</xdr:colOff>
      <xdr:row>10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304800</xdr:colOff>
      <xdr:row>10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390935</xdr:colOff>
      <xdr:row>0</xdr:row>
      <xdr:rowOff>152400</xdr:rowOff>
    </xdr:from>
    <xdr:to>
      <xdr:col>0</xdr:col>
      <xdr:colOff>1695041</xdr:colOff>
      <xdr:row>3</xdr:row>
      <xdr:rowOff>219076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1D0E6E62-09E5-48DA-A892-2CA0302F37A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01" t="23554" r="72937" b="24289"/>
        <a:stretch>
          <a:fillRect/>
        </a:stretch>
      </xdr:blipFill>
      <xdr:spPr>
        <a:xfrm>
          <a:off x="390935" y="152400"/>
          <a:ext cx="1304106" cy="1133476"/>
        </a:xfrm>
        <a:prstGeom prst="rect">
          <a:avLst/>
        </a:prstGeom>
      </xdr:spPr>
    </xdr:pic>
    <xdr:clientData/>
  </xdr:twoCellAnchor>
  <xdr:twoCellAnchor>
    <xdr:from>
      <xdr:col>1</xdr:col>
      <xdr:colOff>638175</xdr:colOff>
      <xdr:row>17</xdr:row>
      <xdr:rowOff>152400</xdr:rowOff>
    </xdr:from>
    <xdr:to>
      <xdr:col>12</xdr:col>
      <xdr:colOff>352425</xdr:colOff>
      <xdr:row>31</xdr:row>
      <xdr:rowOff>152399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859B90C-A28E-4668-9929-9B7012D307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64769</xdr:colOff>
      <xdr:row>6</xdr:row>
      <xdr:rowOff>28573</xdr:rowOff>
    </xdr:from>
    <xdr:to>
      <xdr:col>0</xdr:col>
      <xdr:colOff>2162174</xdr:colOff>
      <xdr:row>15</xdr:row>
      <xdr:rowOff>114299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B69AF4C3-F96E-4663-B2A0-70E55454CAA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4769" y="1876423"/>
              <a:ext cx="2097405" cy="171450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</xdr:col>
      <xdr:colOff>638174</xdr:colOff>
      <xdr:row>6</xdr:row>
      <xdr:rowOff>76200</xdr:rowOff>
    </xdr:from>
    <xdr:to>
      <xdr:col>3</xdr:col>
      <xdr:colOff>200025</xdr:colOff>
      <xdr:row>14</xdr:row>
      <xdr:rowOff>89535</xdr:rowOff>
    </xdr:to>
    <xdr:grpSp>
      <xdr:nvGrpSpPr>
        <xdr:cNvPr id="5" name="Agrupar 4">
          <a:extLst>
            <a:ext uri="{FF2B5EF4-FFF2-40B4-BE49-F238E27FC236}">
              <a16:creationId xmlns:a16="http://schemas.microsoft.com/office/drawing/2014/main" id="{D9C2A026-6CA0-53EE-891A-D6355E25E341}"/>
            </a:ext>
          </a:extLst>
        </xdr:cNvPr>
        <xdr:cNvGrpSpPr/>
      </xdr:nvGrpSpPr>
      <xdr:grpSpPr>
        <a:xfrm>
          <a:off x="2819399" y="1924050"/>
          <a:ext cx="4171951" cy="1461135"/>
          <a:chOff x="2816129" y="1930021"/>
          <a:chExt cx="4173657" cy="1469096"/>
        </a:xfrm>
      </xdr:grpSpPr>
      <xdr:sp macro="" textlink="C̳álculos!G18">
        <xdr:nvSpPr>
          <xdr:cNvPr id="6" name="Retângulo: Cantos Arredondados 5">
            <a:extLst>
              <a:ext uri="{FF2B5EF4-FFF2-40B4-BE49-F238E27FC236}">
                <a16:creationId xmlns:a16="http://schemas.microsoft.com/office/drawing/2014/main" id="{BC47642E-22CD-41A3-A174-443C5BF621C6}"/>
              </a:ext>
            </a:extLst>
          </xdr:cNvPr>
          <xdr:cNvSpPr/>
        </xdr:nvSpPr>
        <xdr:spPr>
          <a:xfrm>
            <a:off x="2816131" y="1930021"/>
            <a:ext cx="4173655" cy="127379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68B53F24-BFFC-4D61-AB31-E0439CB12D39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r"/>
              <a:t>R$ 600,00</a:t>
            </a:fld>
            <a:endParaRPr lang="pt-BR" sz="1000">
              <a:solidFill>
                <a:srgbClr val="22C55E"/>
              </a:solidFill>
            </a:endParaRPr>
          </a:p>
        </xdr:txBody>
      </xdr:sp>
      <xdr:pic>
        <xdr:nvPicPr>
          <xdr:cNvPr id="7" name="Imagem 6">
            <a:extLst>
              <a:ext uri="{FF2B5EF4-FFF2-40B4-BE49-F238E27FC236}">
                <a16:creationId xmlns:a16="http://schemas.microsoft.com/office/drawing/2014/main" id="{C122368E-D0A6-4014-82FD-B43E4D070E0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030088" y="2227286"/>
            <a:ext cx="1219200" cy="1171831"/>
          </a:xfrm>
          <a:prstGeom prst="rect">
            <a:avLst/>
          </a:prstGeom>
        </xdr:spPr>
      </xdr:pic>
      <xdr:sp macro="" textlink="">
        <xdr:nvSpPr>
          <xdr:cNvPr id="8" name="Retângulo: Cantos Superiores Arredondados 7">
            <a:extLst>
              <a:ext uri="{FF2B5EF4-FFF2-40B4-BE49-F238E27FC236}">
                <a16:creationId xmlns:a16="http://schemas.microsoft.com/office/drawing/2014/main" id="{1F54E1AE-21C7-B571-1818-D106513D2E11}"/>
              </a:ext>
            </a:extLst>
          </xdr:cNvPr>
          <xdr:cNvSpPr/>
        </xdr:nvSpPr>
        <xdr:spPr>
          <a:xfrm>
            <a:off x="2816129" y="1930021"/>
            <a:ext cx="4173656" cy="430615"/>
          </a:xfrm>
          <a:prstGeom prst="round2SameRect">
            <a:avLst>
              <a:gd name="adj1" fmla="val 34211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 SUBSCRIPTIONS</a:t>
            </a:r>
            <a:r>
              <a:rPr lang="pt-BR" sz="1400" b="1" baseline="0">
                <a:solidFill>
                  <a:schemeClr val="bg1"/>
                </a:solidFill>
              </a:rPr>
              <a:t> EA PLAY SEASON PASS</a:t>
            </a:r>
            <a:endParaRPr lang="pt-BR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5</xdr:col>
      <xdr:colOff>155669</xdr:colOff>
      <xdr:row>6</xdr:row>
      <xdr:rowOff>87708</xdr:rowOff>
    </xdr:from>
    <xdr:to>
      <xdr:col>12</xdr:col>
      <xdr:colOff>286320</xdr:colOff>
      <xdr:row>13</xdr:row>
      <xdr:rowOff>87708</xdr:rowOff>
    </xdr:to>
    <xdr:grpSp>
      <xdr:nvGrpSpPr>
        <xdr:cNvPr id="10" name="Agrupar 9">
          <a:extLst>
            <a:ext uri="{FF2B5EF4-FFF2-40B4-BE49-F238E27FC236}">
              <a16:creationId xmlns:a16="http://schemas.microsoft.com/office/drawing/2014/main" id="{6F7926D0-586D-B8A0-3223-785DE7920AFE}"/>
            </a:ext>
          </a:extLst>
        </xdr:cNvPr>
        <xdr:cNvGrpSpPr/>
      </xdr:nvGrpSpPr>
      <xdr:grpSpPr>
        <a:xfrm>
          <a:off x="8166194" y="1935558"/>
          <a:ext cx="4235926" cy="1266825"/>
          <a:chOff x="7826849" y="1939546"/>
          <a:chExt cx="4230665" cy="1273791"/>
        </a:xfrm>
      </xdr:grpSpPr>
      <xdr:sp macro="" textlink="C̳álculos!G30">
        <xdr:nvSpPr>
          <xdr:cNvPr id="9" name="Retângulo: Cantos Arredondados 8">
            <a:extLst>
              <a:ext uri="{FF2B5EF4-FFF2-40B4-BE49-F238E27FC236}">
                <a16:creationId xmlns:a16="http://schemas.microsoft.com/office/drawing/2014/main" id="{D93F1892-469A-4454-81BA-3B13F9442F86}"/>
              </a:ext>
            </a:extLst>
          </xdr:cNvPr>
          <xdr:cNvSpPr/>
        </xdr:nvSpPr>
        <xdr:spPr>
          <a:xfrm>
            <a:off x="7826851" y="1939546"/>
            <a:ext cx="4230663" cy="1273791"/>
          </a:xfrm>
          <a:prstGeom prst="round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b"/>
          <a:lstStyle/>
          <a:p>
            <a:pPr algn="r"/>
            <a:fld id="{CB1D4775-14D4-462B-920B-6769502946CA}" type="TxLink">
              <a:rPr lang="en-US" sz="4000" b="0" i="0" u="none" strike="noStrike">
                <a:solidFill>
                  <a:srgbClr val="22C55E"/>
                </a:solidFill>
                <a:latin typeface="Aptos Narrow"/>
              </a:rPr>
              <a:pPr algn="r"/>
              <a:t>R$ 940,00</a:t>
            </a:fld>
            <a:endParaRPr lang="pt-BR" sz="4000">
              <a:solidFill>
                <a:srgbClr val="22C55E"/>
              </a:solidFill>
            </a:endParaRPr>
          </a:p>
        </xdr:txBody>
      </xdr:sp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FF576B3B-4869-4950-829C-0E14414B9D85}"/>
              </a:ext>
            </a:extLst>
          </xdr:cNvPr>
          <xdr:cNvSpPr/>
        </xdr:nvSpPr>
        <xdr:spPr>
          <a:xfrm>
            <a:off x="7826849" y="1939546"/>
            <a:ext cx="4230664" cy="430615"/>
          </a:xfrm>
          <a:prstGeom prst="round2SameRect">
            <a:avLst>
              <a:gd name="adj1" fmla="val 34211"/>
              <a:gd name="adj2" fmla="val 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solidFill>
                  <a:schemeClr val="bg1"/>
                </a:solidFill>
              </a:rPr>
              <a:t>TOTAL SUBSCRIPTIONS</a:t>
            </a:r>
            <a:r>
              <a:rPr lang="pt-BR" sz="1400" b="1" baseline="0">
                <a:solidFill>
                  <a:schemeClr val="bg1"/>
                </a:solidFill>
              </a:rPr>
              <a:t> MINECRAFT SEASON PASS</a:t>
            </a:r>
            <a:endParaRPr lang="pt-BR" sz="1400" b="1">
              <a:solidFill>
                <a:schemeClr val="bg1"/>
              </a:solidFill>
            </a:endParaRPr>
          </a:p>
        </xdr:txBody>
      </xdr:sp>
      <xdr:grpSp>
        <xdr:nvGrpSpPr>
          <xdr:cNvPr id="12" name="Agrupar 11">
            <a:extLst>
              <a:ext uri="{FF2B5EF4-FFF2-40B4-BE49-F238E27FC236}">
                <a16:creationId xmlns:a16="http://schemas.microsoft.com/office/drawing/2014/main" id="{B6FB0FFB-CEDF-430E-B159-F75274AE612E}"/>
              </a:ext>
            </a:extLst>
          </xdr:cNvPr>
          <xdr:cNvGrpSpPr/>
        </xdr:nvGrpSpPr>
        <xdr:grpSpPr>
          <a:xfrm>
            <a:off x="8147302" y="2485456"/>
            <a:ext cx="1244663" cy="584011"/>
            <a:chOff x="3495675" y="5400674"/>
            <a:chExt cx="1549476" cy="752476"/>
          </a:xfrm>
        </xdr:grpSpPr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2AA9C959-6F0E-83B5-9AEC-CC3A85D49624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14" name="Gráfico 13">
              <a:extLst>
                <a:ext uri="{FF2B5EF4-FFF2-40B4-BE49-F238E27FC236}">
                  <a16:creationId xmlns:a16="http://schemas.microsoft.com/office/drawing/2014/main" id="{360FFEB5-F8F4-1858-8337-E08BE25228A0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5">
              <a:extLst>
                <a:ext uri="{96DAC541-7B7A-43D3-8B79-37D633B846F1}">
                  <asvg:svgBlip xmlns:asvg="http://schemas.microsoft.com/office/drawing/2016/SVG/main" r:embed="rId6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636330</xdr:colOff>
      <xdr:row>15</xdr:row>
      <xdr:rowOff>85725</xdr:rowOff>
    </xdr:from>
    <xdr:to>
      <xdr:col>12</xdr:col>
      <xdr:colOff>353183</xdr:colOff>
      <xdr:row>17</xdr:row>
      <xdr:rowOff>152400</xdr:rowOff>
    </xdr:to>
    <xdr:sp macro="" textlink="">
      <xdr:nvSpPr>
        <xdr:cNvPr id="15" name="Retângulo: Cantos Superiores Arredondados 14">
          <a:extLst>
            <a:ext uri="{FF2B5EF4-FFF2-40B4-BE49-F238E27FC236}">
              <a16:creationId xmlns:a16="http://schemas.microsoft.com/office/drawing/2014/main" id="{792D5EE8-B743-ABCA-0F30-6D3B87D692A2}"/>
            </a:ext>
          </a:extLst>
        </xdr:cNvPr>
        <xdr:cNvSpPr/>
      </xdr:nvSpPr>
      <xdr:spPr>
        <a:xfrm>
          <a:off x="2816633" y="3576177"/>
          <a:ext cx="9721176" cy="430468"/>
        </a:xfrm>
        <a:prstGeom prst="round2SameRect">
          <a:avLst/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bg1"/>
              </a:solidFill>
            </a:rPr>
            <a:t>TOTAL SUBSCRIPTIONS XBOX GAME PASS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BFC" refreshedDate="46300.447324189816" createdVersion="8" refreshedVersion="8" minRefreshableVersion="3" recordCount="295" xr:uid="{5793D346-B26A-4094-A3D3-F4C304918606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995216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x v="0"/>
    <n v="30"/>
    <s v="Yes"/>
    <n v="20"/>
    <n v="5"/>
    <n v="60"/>
  </r>
  <r>
    <n v="3232"/>
    <x v="1"/>
    <x v="1"/>
    <d v="2024-01-15T00:00:00"/>
    <x v="1"/>
    <n v="5"/>
    <x v="1"/>
    <x v="1"/>
    <s v="-"/>
    <s v="No"/>
    <n v="0"/>
    <n v="0"/>
    <n v="5"/>
  </r>
  <r>
    <n v="3233"/>
    <x v="2"/>
    <x v="2"/>
    <d v="2024-02-10T00:00:00"/>
    <x v="0"/>
    <n v="10"/>
    <x v="2"/>
    <x v="1"/>
    <s v="-"/>
    <s v="Yes"/>
    <n v="20"/>
    <n v="10"/>
    <n v="20"/>
  </r>
  <r>
    <n v="3234"/>
    <x v="3"/>
    <x v="0"/>
    <d v="2024-02-20T00:00:00"/>
    <x v="1"/>
    <n v="15"/>
    <x v="0"/>
    <x v="0"/>
    <n v="30"/>
    <s v="Yes"/>
    <n v="20"/>
    <n v="3"/>
    <n v="62"/>
  </r>
  <r>
    <n v="3235"/>
    <x v="4"/>
    <x v="1"/>
    <d v="2024-03-05T00:00:00"/>
    <x v="0"/>
    <n v="5"/>
    <x v="0"/>
    <x v="1"/>
    <s v="-"/>
    <s v="No"/>
    <n v="0"/>
    <n v="1"/>
    <n v="4"/>
  </r>
  <r>
    <n v="3236"/>
    <x v="5"/>
    <x v="2"/>
    <d v="2024-03-02T00:00:00"/>
    <x v="1"/>
    <n v="10"/>
    <x v="0"/>
    <x v="1"/>
    <s v="-"/>
    <s v="Yes"/>
    <n v="20"/>
    <n v="2"/>
    <n v="28"/>
  </r>
  <r>
    <n v="3237"/>
    <x v="6"/>
    <x v="0"/>
    <d v="2024-03-03T00:00:00"/>
    <x v="0"/>
    <n v="15"/>
    <x v="2"/>
    <x v="0"/>
    <n v="30"/>
    <s v="Yes"/>
    <n v="20"/>
    <n v="10"/>
    <n v="55"/>
  </r>
  <r>
    <n v="3238"/>
    <x v="7"/>
    <x v="1"/>
    <d v="2024-03-04T00:00:00"/>
    <x v="0"/>
    <n v="5"/>
    <x v="1"/>
    <x v="1"/>
    <s v="-"/>
    <s v="No"/>
    <n v="0"/>
    <n v="0"/>
    <n v="5"/>
  </r>
  <r>
    <n v="3239"/>
    <x v="8"/>
    <x v="0"/>
    <d v="2024-03-05T00:00:00"/>
    <x v="1"/>
    <n v="15"/>
    <x v="0"/>
    <x v="0"/>
    <n v="30"/>
    <s v="Yes"/>
    <n v="20"/>
    <n v="5"/>
    <n v="60"/>
  </r>
  <r>
    <n v="3240"/>
    <x v="9"/>
    <x v="2"/>
    <d v="2024-03-06T00:00:00"/>
    <x v="0"/>
    <n v="10"/>
    <x v="2"/>
    <x v="1"/>
    <s v="-"/>
    <s v="Yes"/>
    <n v="20"/>
    <n v="15"/>
    <n v="15"/>
  </r>
  <r>
    <n v="3241"/>
    <x v="10"/>
    <x v="1"/>
    <d v="2024-03-07T00:00:00"/>
    <x v="1"/>
    <n v="5"/>
    <x v="0"/>
    <x v="1"/>
    <s v="-"/>
    <s v="No"/>
    <n v="0"/>
    <n v="1"/>
    <n v="4"/>
  </r>
  <r>
    <n v="3242"/>
    <x v="11"/>
    <x v="0"/>
    <d v="2024-03-08T00:00:00"/>
    <x v="0"/>
    <n v="15"/>
    <x v="1"/>
    <x v="0"/>
    <n v="30"/>
    <s v="Yes"/>
    <n v="20"/>
    <n v="20"/>
    <n v="45"/>
  </r>
  <r>
    <n v="3243"/>
    <x v="12"/>
    <x v="2"/>
    <d v="2024-03-09T00:00:00"/>
    <x v="1"/>
    <n v="10"/>
    <x v="0"/>
    <x v="1"/>
    <s v="-"/>
    <s v="Yes"/>
    <n v="20"/>
    <n v="10"/>
    <n v="20"/>
  </r>
  <r>
    <n v="3244"/>
    <x v="13"/>
    <x v="1"/>
    <d v="2024-03-10T00:00:00"/>
    <x v="0"/>
    <n v="5"/>
    <x v="2"/>
    <x v="1"/>
    <s v="-"/>
    <s v="No"/>
    <n v="0"/>
    <n v="0"/>
    <n v="5"/>
  </r>
  <r>
    <n v="3245"/>
    <x v="14"/>
    <x v="0"/>
    <d v="2024-03-11T00:00:00"/>
    <x v="1"/>
    <n v="15"/>
    <x v="0"/>
    <x v="0"/>
    <n v="30"/>
    <s v="Yes"/>
    <n v="20"/>
    <n v="8"/>
    <n v="57"/>
  </r>
  <r>
    <n v="3246"/>
    <x v="15"/>
    <x v="2"/>
    <d v="2024-03-12T00:00:00"/>
    <x v="0"/>
    <n v="10"/>
    <x v="1"/>
    <x v="1"/>
    <s v="-"/>
    <s v="Yes"/>
    <n v="20"/>
    <n v="12"/>
    <n v="18"/>
  </r>
  <r>
    <n v="3247"/>
    <x v="16"/>
    <x v="1"/>
    <d v="2024-03-13T00:00:00"/>
    <x v="1"/>
    <n v="5"/>
    <x v="0"/>
    <x v="1"/>
    <s v="-"/>
    <s v="No"/>
    <n v="0"/>
    <n v="2"/>
    <n v="3"/>
  </r>
  <r>
    <n v="3248"/>
    <x v="17"/>
    <x v="0"/>
    <d v="2024-03-14T00:00:00"/>
    <x v="0"/>
    <n v="15"/>
    <x v="2"/>
    <x v="0"/>
    <n v="30"/>
    <s v="Yes"/>
    <n v="20"/>
    <n v="7"/>
    <n v="58"/>
  </r>
  <r>
    <n v="3249"/>
    <x v="18"/>
    <x v="2"/>
    <d v="2024-03-15T00:00:00"/>
    <x v="1"/>
    <n v="10"/>
    <x v="0"/>
    <x v="1"/>
    <s v="-"/>
    <s v="Yes"/>
    <n v="20"/>
    <n v="5"/>
    <n v="25"/>
  </r>
  <r>
    <n v="3250"/>
    <x v="19"/>
    <x v="1"/>
    <d v="2024-03-16T00:00:00"/>
    <x v="0"/>
    <n v="5"/>
    <x v="1"/>
    <x v="1"/>
    <s v="-"/>
    <s v="No"/>
    <n v="0"/>
    <n v="0"/>
    <n v="5"/>
  </r>
  <r>
    <n v="3251"/>
    <x v="20"/>
    <x v="0"/>
    <d v="2024-03-17T00:00:00"/>
    <x v="1"/>
    <n v="15"/>
    <x v="0"/>
    <x v="0"/>
    <n v="30"/>
    <s v="Yes"/>
    <n v="20"/>
    <n v="3"/>
    <n v="62"/>
  </r>
  <r>
    <n v="3252"/>
    <x v="21"/>
    <x v="2"/>
    <d v="2024-03-18T00:00:00"/>
    <x v="0"/>
    <n v="10"/>
    <x v="2"/>
    <x v="1"/>
    <s v="-"/>
    <s v="Yes"/>
    <n v="20"/>
    <n v="15"/>
    <n v="15"/>
  </r>
  <r>
    <n v="3253"/>
    <x v="22"/>
    <x v="1"/>
    <d v="2024-03-19T00:00:00"/>
    <x v="1"/>
    <n v="5"/>
    <x v="0"/>
    <x v="1"/>
    <s v="-"/>
    <s v="No"/>
    <n v="0"/>
    <n v="1"/>
    <n v="4"/>
  </r>
  <r>
    <n v="3254"/>
    <x v="23"/>
    <x v="0"/>
    <d v="2024-03-20T00:00:00"/>
    <x v="0"/>
    <n v="15"/>
    <x v="1"/>
    <x v="0"/>
    <n v="30"/>
    <s v="Yes"/>
    <n v="20"/>
    <n v="20"/>
    <n v="45"/>
  </r>
  <r>
    <n v="3255"/>
    <x v="24"/>
    <x v="2"/>
    <d v="2024-03-21T00:00:00"/>
    <x v="1"/>
    <n v="10"/>
    <x v="0"/>
    <x v="1"/>
    <s v="-"/>
    <s v="Yes"/>
    <n v="20"/>
    <n v="10"/>
    <n v="20"/>
  </r>
  <r>
    <n v="3256"/>
    <x v="25"/>
    <x v="1"/>
    <d v="2024-03-22T00:00:00"/>
    <x v="0"/>
    <n v="5"/>
    <x v="2"/>
    <x v="1"/>
    <s v="-"/>
    <s v="No"/>
    <n v="0"/>
    <n v="0"/>
    <n v="5"/>
  </r>
  <r>
    <n v="3257"/>
    <x v="26"/>
    <x v="0"/>
    <d v="2024-03-23T00:00:00"/>
    <x v="1"/>
    <n v="15"/>
    <x v="0"/>
    <x v="0"/>
    <n v="30"/>
    <s v="Yes"/>
    <n v="20"/>
    <n v="5"/>
    <n v="60"/>
  </r>
  <r>
    <n v="3258"/>
    <x v="27"/>
    <x v="2"/>
    <d v="2024-03-24T00:00:00"/>
    <x v="0"/>
    <n v="10"/>
    <x v="1"/>
    <x v="1"/>
    <s v="-"/>
    <s v="Yes"/>
    <n v="20"/>
    <n v="15"/>
    <n v="15"/>
  </r>
  <r>
    <n v="3259"/>
    <x v="28"/>
    <x v="1"/>
    <d v="2024-03-25T00:00:00"/>
    <x v="1"/>
    <n v="5"/>
    <x v="0"/>
    <x v="1"/>
    <s v="-"/>
    <s v="No"/>
    <n v="0"/>
    <n v="1"/>
    <n v="4"/>
  </r>
  <r>
    <n v="3260"/>
    <x v="29"/>
    <x v="0"/>
    <d v="2024-03-26T00:00:00"/>
    <x v="0"/>
    <n v="15"/>
    <x v="2"/>
    <x v="0"/>
    <n v="30"/>
    <s v="Yes"/>
    <n v="20"/>
    <n v="7"/>
    <n v="58"/>
  </r>
  <r>
    <n v="3261"/>
    <x v="30"/>
    <x v="2"/>
    <d v="2024-03-27T00:00:00"/>
    <x v="1"/>
    <n v="10"/>
    <x v="0"/>
    <x v="1"/>
    <s v="-"/>
    <s v="Yes"/>
    <n v="20"/>
    <n v="10"/>
    <n v="20"/>
  </r>
  <r>
    <n v="3262"/>
    <x v="31"/>
    <x v="1"/>
    <d v="2024-03-28T00:00:00"/>
    <x v="0"/>
    <n v="5"/>
    <x v="1"/>
    <x v="1"/>
    <s v="-"/>
    <s v="No"/>
    <n v="0"/>
    <n v="0"/>
    <n v="5"/>
  </r>
  <r>
    <n v="3263"/>
    <x v="32"/>
    <x v="0"/>
    <d v="2024-03-29T00:00:00"/>
    <x v="1"/>
    <n v="15"/>
    <x v="0"/>
    <x v="0"/>
    <n v="30"/>
    <s v="Yes"/>
    <n v="20"/>
    <n v="3"/>
    <n v="62"/>
  </r>
  <r>
    <n v="3264"/>
    <x v="33"/>
    <x v="2"/>
    <d v="2024-03-30T00:00:00"/>
    <x v="0"/>
    <n v="10"/>
    <x v="2"/>
    <x v="1"/>
    <s v="-"/>
    <s v="Yes"/>
    <n v="20"/>
    <n v="15"/>
    <n v="15"/>
  </r>
  <r>
    <n v="3265"/>
    <x v="34"/>
    <x v="1"/>
    <d v="2024-03-31T00:00:00"/>
    <x v="1"/>
    <n v="5"/>
    <x v="0"/>
    <x v="1"/>
    <s v="-"/>
    <s v="No"/>
    <n v="0"/>
    <n v="1"/>
    <n v="4"/>
  </r>
  <r>
    <n v="3266"/>
    <x v="35"/>
    <x v="1"/>
    <d v="2024-04-01T00:00:00"/>
    <x v="0"/>
    <n v="5"/>
    <x v="0"/>
    <x v="1"/>
    <s v="-"/>
    <s v="No"/>
    <n v="0"/>
    <n v="0"/>
    <n v="5"/>
  </r>
  <r>
    <n v="3267"/>
    <x v="36"/>
    <x v="0"/>
    <d v="2024-04-02T00:00:00"/>
    <x v="1"/>
    <n v="15"/>
    <x v="2"/>
    <x v="0"/>
    <n v="30"/>
    <s v="Yes"/>
    <n v="20"/>
    <n v="7"/>
    <n v="58"/>
  </r>
  <r>
    <n v="3268"/>
    <x v="37"/>
    <x v="2"/>
    <d v="2024-04-03T00:00:00"/>
    <x v="0"/>
    <n v="10"/>
    <x v="1"/>
    <x v="1"/>
    <s v="-"/>
    <s v="Yes"/>
    <n v="20"/>
    <n v="10"/>
    <n v="20"/>
  </r>
  <r>
    <n v="3269"/>
    <x v="38"/>
    <x v="1"/>
    <d v="2024-04-04T00:00:00"/>
    <x v="1"/>
    <n v="5"/>
    <x v="2"/>
    <x v="1"/>
    <s v="-"/>
    <s v="No"/>
    <n v="0"/>
    <n v="1"/>
    <n v="4"/>
  </r>
  <r>
    <n v="3270"/>
    <x v="39"/>
    <x v="0"/>
    <d v="2024-04-05T00:00:00"/>
    <x v="0"/>
    <n v="15"/>
    <x v="0"/>
    <x v="0"/>
    <n v="30"/>
    <s v="Yes"/>
    <n v="20"/>
    <n v="15"/>
    <n v="50"/>
  </r>
  <r>
    <n v="3271"/>
    <x v="40"/>
    <x v="2"/>
    <d v="2024-04-06T00:00:00"/>
    <x v="1"/>
    <n v="10"/>
    <x v="0"/>
    <x v="1"/>
    <s v="-"/>
    <s v="Yes"/>
    <n v="20"/>
    <n v="5"/>
    <n v="25"/>
  </r>
  <r>
    <n v="3272"/>
    <x v="41"/>
    <x v="1"/>
    <d v="2024-04-07T00:00:00"/>
    <x v="0"/>
    <n v="5"/>
    <x v="1"/>
    <x v="1"/>
    <s v="-"/>
    <s v="No"/>
    <n v="0"/>
    <n v="0"/>
    <n v="5"/>
  </r>
  <r>
    <n v="3273"/>
    <x v="42"/>
    <x v="0"/>
    <d v="2024-04-08T00:00:00"/>
    <x v="1"/>
    <n v="15"/>
    <x v="2"/>
    <x v="0"/>
    <n v="30"/>
    <s v="Yes"/>
    <n v="20"/>
    <n v="20"/>
    <n v="45"/>
  </r>
  <r>
    <n v="3274"/>
    <x v="43"/>
    <x v="2"/>
    <d v="2024-04-09T00:00:00"/>
    <x v="0"/>
    <n v="10"/>
    <x v="2"/>
    <x v="1"/>
    <s v="-"/>
    <s v="Yes"/>
    <n v="20"/>
    <n v="12"/>
    <n v="18"/>
  </r>
  <r>
    <n v="3275"/>
    <x v="44"/>
    <x v="1"/>
    <d v="2024-04-10T00:00:00"/>
    <x v="1"/>
    <n v="5"/>
    <x v="0"/>
    <x v="1"/>
    <s v="-"/>
    <s v="No"/>
    <n v="0"/>
    <n v="2"/>
    <n v="3"/>
  </r>
  <r>
    <n v="3276"/>
    <x v="45"/>
    <x v="0"/>
    <d v="2024-04-11T00:00:00"/>
    <x v="0"/>
    <n v="15"/>
    <x v="1"/>
    <x v="0"/>
    <n v="30"/>
    <s v="Yes"/>
    <n v="20"/>
    <n v="5"/>
    <n v="60"/>
  </r>
  <r>
    <n v="3277"/>
    <x v="46"/>
    <x v="2"/>
    <d v="2024-04-12T00:00:00"/>
    <x v="1"/>
    <n v="10"/>
    <x v="0"/>
    <x v="1"/>
    <s v="-"/>
    <s v="Yes"/>
    <n v="20"/>
    <n v="10"/>
    <n v="20"/>
  </r>
  <r>
    <n v="3278"/>
    <x v="47"/>
    <x v="1"/>
    <d v="2024-04-13T00:00:00"/>
    <x v="0"/>
    <n v="5"/>
    <x v="2"/>
    <x v="1"/>
    <s v="-"/>
    <s v="No"/>
    <n v="0"/>
    <n v="0"/>
    <n v="5"/>
  </r>
  <r>
    <n v="3279"/>
    <x v="48"/>
    <x v="0"/>
    <d v="2024-04-14T00:00:00"/>
    <x v="1"/>
    <n v="15"/>
    <x v="0"/>
    <x v="0"/>
    <n v="30"/>
    <s v="Yes"/>
    <n v="20"/>
    <n v="3"/>
    <n v="62"/>
  </r>
  <r>
    <n v="3280"/>
    <x v="49"/>
    <x v="2"/>
    <d v="2024-04-15T00:00:00"/>
    <x v="0"/>
    <n v="10"/>
    <x v="1"/>
    <x v="1"/>
    <s v="-"/>
    <s v="Yes"/>
    <n v="20"/>
    <n v="15"/>
    <n v="15"/>
  </r>
  <r>
    <n v="3281"/>
    <x v="50"/>
    <x v="1"/>
    <d v="2024-04-16T00:00:00"/>
    <x v="1"/>
    <n v="5"/>
    <x v="0"/>
    <x v="1"/>
    <s v="-"/>
    <s v="No"/>
    <n v="0"/>
    <n v="1"/>
    <n v="4"/>
  </r>
  <r>
    <n v="3282"/>
    <x v="51"/>
    <x v="0"/>
    <d v="2024-04-17T00:00:00"/>
    <x v="0"/>
    <n v="15"/>
    <x v="2"/>
    <x v="0"/>
    <n v="30"/>
    <s v="Yes"/>
    <n v="20"/>
    <n v="7"/>
    <n v="58"/>
  </r>
  <r>
    <n v="3283"/>
    <x v="52"/>
    <x v="2"/>
    <d v="2024-04-18T00:00:00"/>
    <x v="1"/>
    <n v="10"/>
    <x v="0"/>
    <x v="1"/>
    <s v="-"/>
    <s v="Yes"/>
    <n v="20"/>
    <n v="10"/>
    <n v="20"/>
  </r>
  <r>
    <n v="3284"/>
    <x v="53"/>
    <x v="1"/>
    <d v="2024-04-19T00:00:00"/>
    <x v="0"/>
    <n v="5"/>
    <x v="1"/>
    <x v="1"/>
    <s v="-"/>
    <s v="No"/>
    <n v="0"/>
    <n v="0"/>
    <n v="5"/>
  </r>
  <r>
    <n v="3285"/>
    <x v="54"/>
    <x v="0"/>
    <d v="2024-04-20T00:00:00"/>
    <x v="1"/>
    <n v="15"/>
    <x v="0"/>
    <x v="0"/>
    <n v="30"/>
    <s v="Yes"/>
    <n v="20"/>
    <n v="20"/>
    <n v="45"/>
  </r>
  <r>
    <n v="3286"/>
    <x v="55"/>
    <x v="2"/>
    <d v="2024-04-21T00:00:00"/>
    <x v="0"/>
    <n v="10"/>
    <x v="2"/>
    <x v="1"/>
    <s v="-"/>
    <s v="Yes"/>
    <n v="20"/>
    <n v="15"/>
    <n v="15"/>
  </r>
  <r>
    <n v="3287"/>
    <x v="56"/>
    <x v="1"/>
    <d v="2024-04-22T00:00:00"/>
    <x v="1"/>
    <n v="5"/>
    <x v="0"/>
    <x v="1"/>
    <s v="-"/>
    <s v="No"/>
    <n v="0"/>
    <n v="1"/>
    <n v="4"/>
  </r>
  <r>
    <n v="3288"/>
    <x v="57"/>
    <x v="0"/>
    <d v="2024-04-23T00:00:00"/>
    <x v="0"/>
    <n v="15"/>
    <x v="1"/>
    <x v="0"/>
    <n v="30"/>
    <s v="Yes"/>
    <n v="20"/>
    <n v="3"/>
    <n v="62"/>
  </r>
  <r>
    <n v="3289"/>
    <x v="58"/>
    <x v="2"/>
    <d v="2024-04-24T00:00:00"/>
    <x v="1"/>
    <n v="10"/>
    <x v="0"/>
    <x v="1"/>
    <s v="-"/>
    <s v="Yes"/>
    <n v="20"/>
    <n v="10"/>
    <n v="20"/>
  </r>
  <r>
    <n v="3290"/>
    <x v="59"/>
    <x v="1"/>
    <d v="2024-04-25T00:00:00"/>
    <x v="0"/>
    <n v="5"/>
    <x v="2"/>
    <x v="1"/>
    <s v="-"/>
    <s v="No"/>
    <n v="0"/>
    <n v="0"/>
    <n v="5"/>
  </r>
  <r>
    <n v="3291"/>
    <x v="60"/>
    <x v="0"/>
    <d v="2024-04-26T00:00:00"/>
    <x v="1"/>
    <n v="15"/>
    <x v="0"/>
    <x v="0"/>
    <n v="30"/>
    <s v="Yes"/>
    <n v="20"/>
    <n v="5"/>
    <n v="60"/>
  </r>
  <r>
    <n v="3292"/>
    <x v="61"/>
    <x v="2"/>
    <d v="2024-04-27T00:00:00"/>
    <x v="0"/>
    <n v="10"/>
    <x v="1"/>
    <x v="1"/>
    <s v="-"/>
    <s v="Yes"/>
    <n v="20"/>
    <n v="15"/>
    <n v="15"/>
  </r>
  <r>
    <n v="3293"/>
    <x v="62"/>
    <x v="1"/>
    <d v="2024-04-28T00:00:00"/>
    <x v="1"/>
    <n v="5"/>
    <x v="0"/>
    <x v="1"/>
    <s v="-"/>
    <s v="No"/>
    <n v="0"/>
    <n v="1"/>
    <n v="4"/>
  </r>
  <r>
    <n v="3294"/>
    <x v="63"/>
    <x v="0"/>
    <d v="2024-04-29T00:00:00"/>
    <x v="0"/>
    <n v="15"/>
    <x v="2"/>
    <x v="0"/>
    <n v="30"/>
    <s v="Yes"/>
    <n v="20"/>
    <n v="20"/>
    <n v="45"/>
  </r>
  <r>
    <n v="3295"/>
    <x v="64"/>
    <x v="2"/>
    <d v="2024-04-30T00:00:00"/>
    <x v="1"/>
    <n v="10"/>
    <x v="0"/>
    <x v="1"/>
    <s v="-"/>
    <s v="Yes"/>
    <n v="20"/>
    <n v="5"/>
    <n v="25"/>
  </r>
  <r>
    <n v="3296"/>
    <x v="65"/>
    <x v="1"/>
    <d v="2024-05-01T00:00:00"/>
    <x v="1"/>
    <n v="5"/>
    <x v="0"/>
    <x v="1"/>
    <s v="-"/>
    <s v="No"/>
    <n v="0"/>
    <n v="0"/>
    <n v="5"/>
  </r>
  <r>
    <n v="3297"/>
    <x v="66"/>
    <x v="0"/>
    <d v="2024-05-02T00:00:00"/>
    <x v="0"/>
    <n v="15"/>
    <x v="2"/>
    <x v="0"/>
    <n v="30"/>
    <s v="Yes"/>
    <n v="20"/>
    <n v="7"/>
    <n v="58"/>
  </r>
  <r>
    <n v="3298"/>
    <x v="67"/>
    <x v="2"/>
    <d v="2024-05-03T00:00:00"/>
    <x v="1"/>
    <n v="10"/>
    <x v="1"/>
    <x v="1"/>
    <s v="-"/>
    <s v="Yes"/>
    <n v="20"/>
    <n v="10"/>
    <n v="20"/>
  </r>
  <r>
    <n v="3299"/>
    <x v="68"/>
    <x v="1"/>
    <d v="2024-05-04T00:00:00"/>
    <x v="0"/>
    <n v="5"/>
    <x v="2"/>
    <x v="1"/>
    <s v="-"/>
    <s v="No"/>
    <n v="0"/>
    <n v="1"/>
    <n v="4"/>
  </r>
  <r>
    <n v="3300"/>
    <x v="69"/>
    <x v="0"/>
    <d v="2024-05-05T00:00:00"/>
    <x v="1"/>
    <n v="15"/>
    <x v="0"/>
    <x v="0"/>
    <n v="30"/>
    <s v="Yes"/>
    <n v="20"/>
    <n v="15"/>
    <n v="50"/>
  </r>
  <r>
    <n v="3301"/>
    <x v="70"/>
    <x v="2"/>
    <d v="2024-05-06T00:00:00"/>
    <x v="0"/>
    <n v="10"/>
    <x v="0"/>
    <x v="1"/>
    <s v="-"/>
    <s v="Yes"/>
    <n v="20"/>
    <n v="5"/>
    <n v="25"/>
  </r>
  <r>
    <n v="3302"/>
    <x v="71"/>
    <x v="1"/>
    <d v="2024-05-07T00:00:00"/>
    <x v="1"/>
    <n v="5"/>
    <x v="1"/>
    <x v="1"/>
    <s v="-"/>
    <s v="No"/>
    <n v="0"/>
    <n v="0"/>
    <n v="5"/>
  </r>
  <r>
    <n v="3303"/>
    <x v="72"/>
    <x v="0"/>
    <d v="2024-05-08T00:00:00"/>
    <x v="0"/>
    <n v="15"/>
    <x v="2"/>
    <x v="0"/>
    <n v="30"/>
    <s v="Yes"/>
    <n v="20"/>
    <n v="20"/>
    <n v="45"/>
  </r>
  <r>
    <n v="3304"/>
    <x v="73"/>
    <x v="2"/>
    <d v="2024-05-09T00:00:00"/>
    <x v="1"/>
    <n v="10"/>
    <x v="2"/>
    <x v="1"/>
    <s v="-"/>
    <s v="Yes"/>
    <n v="20"/>
    <n v="12"/>
    <n v="18"/>
  </r>
  <r>
    <n v="3305"/>
    <x v="74"/>
    <x v="1"/>
    <d v="2024-05-10T00:00:00"/>
    <x v="0"/>
    <n v="5"/>
    <x v="0"/>
    <x v="1"/>
    <s v="-"/>
    <s v="No"/>
    <n v="0"/>
    <n v="2"/>
    <n v="3"/>
  </r>
  <r>
    <n v="3306"/>
    <x v="75"/>
    <x v="0"/>
    <d v="2024-05-11T00:00:00"/>
    <x v="1"/>
    <n v="15"/>
    <x v="1"/>
    <x v="0"/>
    <n v="30"/>
    <s v="Yes"/>
    <n v="20"/>
    <n v="5"/>
    <n v="60"/>
  </r>
  <r>
    <n v="3307"/>
    <x v="76"/>
    <x v="2"/>
    <d v="2024-05-12T00:00:00"/>
    <x v="0"/>
    <n v="10"/>
    <x v="0"/>
    <x v="1"/>
    <s v="-"/>
    <s v="Yes"/>
    <n v="20"/>
    <n v="10"/>
    <n v="20"/>
  </r>
  <r>
    <n v="3308"/>
    <x v="77"/>
    <x v="1"/>
    <d v="2024-05-13T00:00:00"/>
    <x v="1"/>
    <n v="5"/>
    <x v="2"/>
    <x v="1"/>
    <s v="-"/>
    <s v="No"/>
    <n v="0"/>
    <n v="0"/>
    <n v="5"/>
  </r>
  <r>
    <n v="3309"/>
    <x v="78"/>
    <x v="0"/>
    <d v="2024-05-14T00:00:00"/>
    <x v="0"/>
    <n v="15"/>
    <x v="0"/>
    <x v="0"/>
    <n v="30"/>
    <s v="Yes"/>
    <n v="20"/>
    <n v="3"/>
    <n v="62"/>
  </r>
  <r>
    <n v="3310"/>
    <x v="79"/>
    <x v="2"/>
    <d v="2024-05-15T00:00:00"/>
    <x v="1"/>
    <n v="10"/>
    <x v="1"/>
    <x v="1"/>
    <s v="-"/>
    <s v="Yes"/>
    <n v="20"/>
    <n v="15"/>
    <n v="15"/>
  </r>
  <r>
    <n v="3311"/>
    <x v="80"/>
    <x v="1"/>
    <d v="2024-05-16T00:00:00"/>
    <x v="0"/>
    <n v="5"/>
    <x v="0"/>
    <x v="1"/>
    <s v="-"/>
    <s v="No"/>
    <n v="0"/>
    <n v="1"/>
    <n v="4"/>
  </r>
  <r>
    <n v="3312"/>
    <x v="81"/>
    <x v="0"/>
    <d v="2024-05-17T00:00:00"/>
    <x v="1"/>
    <n v="15"/>
    <x v="2"/>
    <x v="0"/>
    <n v="30"/>
    <s v="Yes"/>
    <n v="20"/>
    <n v="7"/>
    <n v="58"/>
  </r>
  <r>
    <n v="3313"/>
    <x v="82"/>
    <x v="2"/>
    <d v="2024-05-18T00:00:00"/>
    <x v="0"/>
    <n v="10"/>
    <x v="0"/>
    <x v="1"/>
    <s v="-"/>
    <s v="Yes"/>
    <n v="20"/>
    <n v="10"/>
    <n v="20"/>
  </r>
  <r>
    <n v="3314"/>
    <x v="83"/>
    <x v="1"/>
    <d v="2024-05-19T00:00:00"/>
    <x v="1"/>
    <n v="5"/>
    <x v="1"/>
    <x v="1"/>
    <s v="-"/>
    <s v="No"/>
    <n v="0"/>
    <n v="0"/>
    <n v="5"/>
  </r>
  <r>
    <n v="3315"/>
    <x v="84"/>
    <x v="0"/>
    <d v="2024-05-20T00:00:00"/>
    <x v="0"/>
    <n v="15"/>
    <x v="0"/>
    <x v="0"/>
    <n v="30"/>
    <s v="Yes"/>
    <n v="20"/>
    <n v="20"/>
    <n v="45"/>
  </r>
  <r>
    <n v="3316"/>
    <x v="85"/>
    <x v="2"/>
    <d v="2024-05-21T00:00:00"/>
    <x v="1"/>
    <n v="10"/>
    <x v="2"/>
    <x v="1"/>
    <s v="-"/>
    <s v="Yes"/>
    <n v="20"/>
    <n v="15"/>
    <n v="15"/>
  </r>
  <r>
    <n v="3317"/>
    <x v="86"/>
    <x v="1"/>
    <d v="2024-05-22T00:00:00"/>
    <x v="0"/>
    <n v="5"/>
    <x v="0"/>
    <x v="1"/>
    <s v="-"/>
    <s v="No"/>
    <n v="0"/>
    <n v="1"/>
    <n v="4"/>
  </r>
  <r>
    <n v="3318"/>
    <x v="87"/>
    <x v="0"/>
    <d v="2024-05-23T00:00:00"/>
    <x v="1"/>
    <n v="15"/>
    <x v="1"/>
    <x v="0"/>
    <n v="30"/>
    <s v="Yes"/>
    <n v="20"/>
    <n v="3"/>
    <n v="62"/>
  </r>
  <r>
    <n v="3319"/>
    <x v="88"/>
    <x v="2"/>
    <d v="2024-05-24T00:00:00"/>
    <x v="0"/>
    <n v="10"/>
    <x v="0"/>
    <x v="1"/>
    <s v="-"/>
    <s v="Yes"/>
    <n v="20"/>
    <n v="10"/>
    <n v="20"/>
  </r>
  <r>
    <n v="3320"/>
    <x v="89"/>
    <x v="1"/>
    <d v="2024-05-25T00:00:00"/>
    <x v="1"/>
    <n v="5"/>
    <x v="2"/>
    <x v="1"/>
    <s v="-"/>
    <s v="No"/>
    <n v="0"/>
    <n v="0"/>
    <n v="5"/>
  </r>
  <r>
    <n v="3321"/>
    <x v="90"/>
    <x v="0"/>
    <d v="2024-05-26T00:00:00"/>
    <x v="0"/>
    <n v="15"/>
    <x v="0"/>
    <x v="0"/>
    <n v="30"/>
    <s v="Yes"/>
    <n v="20"/>
    <n v="5"/>
    <n v="60"/>
  </r>
  <r>
    <n v="3322"/>
    <x v="91"/>
    <x v="2"/>
    <d v="2024-05-27T00:00:00"/>
    <x v="1"/>
    <n v="10"/>
    <x v="1"/>
    <x v="1"/>
    <s v="-"/>
    <s v="Yes"/>
    <n v="20"/>
    <n v="15"/>
    <n v="15"/>
  </r>
  <r>
    <n v="3323"/>
    <x v="92"/>
    <x v="1"/>
    <d v="2024-05-28T00:00:00"/>
    <x v="0"/>
    <n v="5"/>
    <x v="0"/>
    <x v="1"/>
    <s v="-"/>
    <s v="No"/>
    <n v="0"/>
    <n v="1"/>
    <n v="4"/>
  </r>
  <r>
    <n v="3324"/>
    <x v="93"/>
    <x v="0"/>
    <d v="2024-05-29T00:00:00"/>
    <x v="1"/>
    <n v="15"/>
    <x v="2"/>
    <x v="0"/>
    <n v="30"/>
    <s v="Yes"/>
    <n v="20"/>
    <n v="20"/>
    <n v="45"/>
  </r>
  <r>
    <n v="3325"/>
    <x v="94"/>
    <x v="2"/>
    <d v="2024-05-30T00:00:00"/>
    <x v="0"/>
    <n v="10"/>
    <x v="2"/>
    <x v="1"/>
    <s v="-"/>
    <s v="Yes"/>
    <n v="20"/>
    <n v="15"/>
    <n v="15"/>
  </r>
  <r>
    <n v="3326"/>
    <x v="95"/>
    <x v="1"/>
    <d v="2024-05-31T00:00:00"/>
    <x v="1"/>
    <n v="5"/>
    <x v="1"/>
    <x v="1"/>
    <s v="-"/>
    <s v="No"/>
    <n v="0"/>
    <n v="0"/>
    <n v="5"/>
  </r>
  <r>
    <n v="3327"/>
    <x v="96"/>
    <x v="0"/>
    <d v="2024-06-01T00:00:00"/>
    <x v="0"/>
    <n v="15"/>
    <x v="0"/>
    <x v="0"/>
    <n v="30"/>
    <s v="Yes"/>
    <n v="20"/>
    <n v="7"/>
    <n v="58"/>
  </r>
  <r>
    <n v="3328"/>
    <x v="97"/>
    <x v="2"/>
    <d v="2024-06-02T00:00:00"/>
    <x v="1"/>
    <n v="10"/>
    <x v="1"/>
    <x v="1"/>
    <s v="-"/>
    <s v="Yes"/>
    <n v="20"/>
    <n v="10"/>
    <n v="20"/>
  </r>
  <r>
    <n v="3329"/>
    <x v="98"/>
    <x v="1"/>
    <d v="2024-06-03T00:00:00"/>
    <x v="0"/>
    <n v="5"/>
    <x v="2"/>
    <x v="1"/>
    <s v="-"/>
    <s v="No"/>
    <n v="0"/>
    <n v="1"/>
    <n v="4"/>
  </r>
  <r>
    <n v="3330"/>
    <x v="99"/>
    <x v="0"/>
    <d v="2024-06-04T00:00:00"/>
    <x v="1"/>
    <n v="15"/>
    <x v="0"/>
    <x v="0"/>
    <n v="30"/>
    <s v="Yes"/>
    <n v="20"/>
    <n v="15"/>
    <n v="50"/>
  </r>
  <r>
    <n v="3331"/>
    <x v="100"/>
    <x v="2"/>
    <d v="2024-06-05T00:00:00"/>
    <x v="0"/>
    <n v="10"/>
    <x v="0"/>
    <x v="1"/>
    <s v="-"/>
    <s v="Yes"/>
    <n v="20"/>
    <n v="5"/>
    <n v="25"/>
  </r>
  <r>
    <n v="3332"/>
    <x v="101"/>
    <x v="1"/>
    <d v="2024-06-06T00:00:00"/>
    <x v="1"/>
    <n v="5"/>
    <x v="1"/>
    <x v="1"/>
    <s v="-"/>
    <s v="No"/>
    <n v="0"/>
    <n v="0"/>
    <n v="5"/>
  </r>
  <r>
    <n v="3333"/>
    <x v="102"/>
    <x v="0"/>
    <d v="2024-06-07T00:00:00"/>
    <x v="0"/>
    <n v="15"/>
    <x v="2"/>
    <x v="0"/>
    <n v="30"/>
    <s v="Yes"/>
    <n v="20"/>
    <n v="20"/>
    <n v="45"/>
  </r>
  <r>
    <n v="3334"/>
    <x v="103"/>
    <x v="2"/>
    <d v="2024-06-08T00:00:00"/>
    <x v="1"/>
    <n v="10"/>
    <x v="2"/>
    <x v="1"/>
    <s v="-"/>
    <s v="Yes"/>
    <n v="20"/>
    <n v="12"/>
    <n v="18"/>
  </r>
  <r>
    <n v="3335"/>
    <x v="104"/>
    <x v="1"/>
    <d v="2024-06-09T00:00:00"/>
    <x v="0"/>
    <n v="5"/>
    <x v="0"/>
    <x v="1"/>
    <s v="-"/>
    <s v="No"/>
    <n v="0"/>
    <n v="2"/>
    <n v="3"/>
  </r>
  <r>
    <n v="3336"/>
    <x v="105"/>
    <x v="1"/>
    <d v="2024-06-10T00:00:00"/>
    <x v="0"/>
    <n v="5"/>
    <x v="0"/>
    <x v="1"/>
    <s v="-"/>
    <s v="No"/>
    <n v="0"/>
    <n v="0"/>
    <n v="5"/>
  </r>
  <r>
    <n v="3337"/>
    <x v="106"/>
    <x v="0"/>
    <d v="2024-06-11T00:00:00"/>
    <x v="1"/>
    <n v="15"/>
    <x v="2"/>
    <x v="0"/>
    <n v="30"/>
    <s v="Yes"/>
    <n v="20"/>
    <n v="7"/>
    <n v="58"/>
  </r>
  <r>
    <n v="3338"/>
    <x v="107"/>
    <x v="2"/>
    <d v="2024-06-12T00:00:00"/>
    <x v="0"/>
    <n v="10"/>
    <x v="1"/>
    <x v="1"/>
    <s v="-"/>
    <s v="Yes"/>
    <n v="20"/>
    <n v="10"/>
    <n v="20"/>
  </r>
  <r>
    <n v="3339"/>
    <x v="108"/>
    <x v="1"/>
    <d v="2024-06-13T00:00:00"/>
    <x v="1"/>
    <n v="5"/>
    <x v="2"/>
    <x v="1"/>
    <s v="-"/>
    <s v="No"/>
    <n v="0"/>
    <n v="1"/>
    <n v="4"/>
  </r>
  <r>
    <n v="3340"/>
    <x v="109"/>
    <x v="0"/>
    <d v="2024-06-14T00:00:00"/>
    <x v="0"/>
    <n v="15"/>
    <x v="0"/>
    <x v="0"/>
    <n v="30"/>
    <s v="Yes"/>
    <n v="20"/>
    <n v="15"/>
    <n v="50"/>
  </r>
  <r>
    <n v="3341"/>
    <x v="110"/>
    <x v="2"/>
    <d v="2024-06-15T00:00:00"/>
    <x v="1"/>
    <n v="10"/>
    <x v="0"/>
    <x v="1"/>
    <s v="-"/>
    <s v="Yes"/>
    <n v="20"/>
    <n v="5"/>
    <n v="25"/>
  </r>
  <r>
    <n v="3342"/>
    <x v="111"/>
    <x v="1"/>
    <d v="2024-06-16T00:00:00"/>
    <x v="0"/>
    <n v="5"/>
    <x v="1"/>
    <x v="1"/>
    <s v="-"/>
    <s v="No"/>
    <n v="0"/>
    <n v="0"/>
    <n v="5"/>
  </r>
  <r>
    <n v="3343"/>
    <x v="112"/>
    <x v="0"/>
    <d v="2024-06-17T00:00:00"/>
    <x v="1"/>
    <n v="15"/>
    <x v="2"/>
    <x v="0"/>
    <n v="30"/>
    <s v="Yes"/>
    <n v="20"/>
    <n v="20"/>
    <n v="45"/>
  </r>
  <r>
    <n v="3344"/>
    <x v="113"/>
    <x v="2"/>
    <d v="2024-06-18T00:00:00"/>
    <x v="0"/>
    <n v="10"/>
    <x v="2"/>
    <x v="1"/>
    <s v="-"/>
    <s v="Yes"/>
    <n v="20"/>
    <n v="12"/>
    <n v="18"/>
  </r>
  <r>
    <n v="3345"/>
    <x v="114"/>
    <x v="1"/>
    <d v="2024-06-19T00:00:00"/>
    <x v="1"/>
    <n v="5"/>
    <x v="0"/>
    <x v="1"/>
    <s v="-"/>
    <s v="No"/>
    <n v="0"/>
    <n v="2"/>
    <n v="3"/>
  </r>
  <r>
    <n v="3346"/>
    <x v="115"/>
    <x v="0"/>
    <d v="2024-06-20T00:00:00"/>
    <x v="0"/>
    <n v="15"/>
    <x v="1"/>
    <x v="0"/>
    <n v="30"/>
    <s v="Yes"/>
    <n v="20"/>
    <n v="5"/>
    <n v="60"/>
  </r>
  <r>
    <n v="3347"/>
    <x v="116"/>
    <x v="2"/>
    <d v="2024-06-21T00:00:00"/>
    <x v="1"/>
    <n v="10"/>
    <x v="0"/>
    <x v="1"/>
    <s v="-"/>
    <s v="Yes"/>
    <n v="20"/>
    <n v="10"/>
    <n v="20"/>
  </r>
  <r>
    <n v="3348"/>
    <x v="117"/>
    <x v="1"/>
    <d v="2024-06-22T00:00:00"/>
    <x v="0"/>
    <n v="5"/>
    <x v="2"/>
    <x v="1"/>
    <s v="-"/>
    <s v="No"/>
    <n v="0"/>
    <n v="0"/>
    <n v="5"/>
  </r>
  <r>
    <n v="3349"/>
    <x v="93"/>
    <x v="0"/>
    <d v="2024-06-23T00:00:00"/>
    <x v="1"/>
    <n v="15"/>
    <x v="0"/>
    <x v="0"/>
    <n v="30"/>
    <s v="Yes"/>
    <n v="20"/>
    <n v="3"/>
    <n v="62"/>
  </r>
  <r>
    <n v="3350"/>
    <x v="118"/>
    <x v="2"/>
    <d v="2024-06-24T00:00:00"/>
    <x v="0"/>
    <n v="10"/>
    <x v="1"/>
    <x v="1"/>
    <s v="-"/>
    <s v="Yes"/>
    <n v="20"/>
    <n v="15"/>
    <n v="15"/>
  </r>
  <r>
    <n v="3351"/>
    <x v="119"/>
    <x v="1"/>
    <d v="2024-06-25T00:00:00"/>
    <x v="1"/>
    <n v="5"/>
    <x v="0"/>
    <x v="1"/>
    <s v="-"/>
    <s v="No"/>
    <n v="0"/>
    <n v="1"/>
    <n v="4"/>
  </r>
  <r>
    <n v="3352"/>
    <x v="120"/>
    <x v="0"/>
    <d v="2024-06-26T00:00:00"/>
    <x v="0"/>
    <n v="15"/>
    <x v="2"/>
    <x v="0"/>
    <n v="30"/>
    <s v="Yes"/>
    <n v="20"/>
    <n v="7"/>
    <n v="58"/>
  </r>
  <r>
    <n v="3353"/>
    <x v="121"/>
    <x v="2"/>
    <d v="2024-06-27T00:00:00"/>
    <x v="1"/>
    <n v="10"/>
    <x v="0"/>
    <x v="1"/>
    <s v="-"/>
    <s v="Yes"/>
    <n v="20"/>
    <n v="10"/>
    <n v="20"/>
  </r>
  <r>
    <n v="3354"/>
    <x v="122"/>
    <x v="1"/>
    <d v="2024-06-28T00:00:00"/>
    <x v="0"/>
    <n v="5"/>
    <x v="1"/>
    <x v="1"/>
    <s v="-"/>
    <s v="No"/>
    <n v="0"/>
    <n v="0"/>
    <n v="5"/>
  </r>
  <r>
    <n v="3355"/>
    <x v="123"/>
    <x v="0"/>
    <d v="2024-06-29T00:00:00"/>
    <x v="1"/>
    <n v="15"/>
    <x v="0"/>
    <x v="0"/>
    <n v="30"/>
    <s v="Yes"/>
    <n v="20"/>
    <n v="20"/>
    <n v="45"/>
  </r>
  <r>
    <n v="3356"/>
    <x v="124"/>
    <x v="2"/>
    <d v="2024-06-30T00:00:00"/>
    <x v="0"/>
    <n v="10"/>
    <x v="2"/>
    <x v="1"/>
    <s v="-"/>
    <s v="Yes"/>
    <n v="20"/>
    <n v="15"/>
    <n v="15"/>
  </r>
  <r>
    <n v="3357"/>
    <x v="125"/>
    <x v="1"/>
    <d v="2024-07-01T00:00:00"/>
    <x v="1"/>
    <n v="5"/>
    <x v="0"/>
    <x v="1"/>
    <s v="-"/>
    <s v="No"/>
    <n v="0"/>
    <n v="1"/>
    <n v="4"/>
  </r>
  <r>
    <n v="3358"/>
    <x v="126"/>
    <x v="0"/>
    <d v="2024-07-02T00:00:00"/>
    <x v="0"/>
    <n v="15"/>
    <x v="1"/>
    <x v="0"/>
    <n v="30"/>
    <s v="Yes"/>
    <n v="20"/>
    <n v="3"/>
    <n v="62"/>
  </r>
  <r>
    <n v="3359"/>
    <x v="127"/>
    <x v="2"/>
    <d v="2024-07-03T00:00:00"/>
    <x v="1"/>
    <n v="10"/>
    <x v="0"/>
    <x v="1"/>
    <s v="-"/>
    <s v="Yes"/>
    <n v="20"/>
    <n v="10"/>
    <n v="20"/>
  </r>
  <r>
    <n v="3360"/>
    <x v="128"/>
    <x v="1"/>
    <d v="2024-07-04T00:00:00"/>
    <x v="0"/>
    <n v="5"/>
    <x v="2"/>
    <x v="1"/>
    <s v="-"/>
    <s v="No"/>
    <n v="0"/>
    <n v="0"/>
    <n v="5"/>
  </r>
  <r>
    <n v="3361"/>
    <x v="129"/>
    <x v="0"/>
    <d v="2024-07-05T00:00:00"/>
    <x v="1"/>
    <n v="15"/>
    <x v="0"/>
    <x v="0"/>
    <n v="30"/>
    <s v="Yes"/>
    <n v="20"/>
    <n v="15"/>
    <n v="50"/>
  </r>
  <r>
    <n v="3362"/>
    <x v="130"/>
    <x v="2"/>
    <d v="2024-07-06T00:00:00"/>
    <x v="0"/>
    <n v="10"/>
    <x v="1"/>
    <x v="1"/>
    <s v="-"/>
    <s v="Yes"/>
    <n v="20"/>
    <n v="15"/>
    <n v="15"/>
  </r>
  <r>
    <n v="3363"/>
    <x v="131"/>
    <x v="1"/>
    <d v="2024-07-07T00:00:00"/>
    <x v="1"/>
    <n v="5"/>
    <x v="0"/>
    <x v="1"/>
    <s v="-"/>
    <s v="No"/>
    <n v="0"/>
    <n v="1"/>
    <n v="4"/>
  </r>
  <r>
    <n v="3364"/>
    <x v="132"/>
    <x v="0"/>
    <d v="2024-07-08T00:00:00"/>
    <x v="0"/>
    <n v="15"/>
    <x v="2"/>
    <x v="0"/>
    <n v="30"/>
    <s v="Yes"/>
    <n v="20"/>
    <n v="7"/>
    <n v="58"/>
  </r>
  <r>
    <n v="3365"/>
    <x v="133"/>
    <x v="2"/>
    <d v="2024-07-09T00:00:00"/>
    <x v="1"/>
    <n v="10"/>
    <x v="0"/>
    <x v="1"/>
    <s v="-"/>
    <s v="Yes"/>
    <n v="20"/>
    <n v="10"/>
    <n v="20"/>
  </r>
  <r>
    <n v="3366"/>
    <x v="134"/>
    <x v="1"/>
    <d v="2024-07-10T00:00:00"/>
    <x v="0"/>
    <n v="5"/>
    <x v="0"/>
    <x v="1"/>
    <s v="-"/>
    <s v="No"/>
    <n v="0"/>
    <n v="0"/>
    <n v="5"/>
  </r>
  <r>
    <n v="3367"/>
    <x v="135"/>
    <x v="0"/>
    <d v="2024-07-11T00:00:00"/>
    <x v="1"/>
    <n v="15"/>
    <x v="2"/>
    <x v="0"/>
    <n v="30"/>
    <s v="Yes"/>
    <n v="20"/>
    <n v="7"/>
    <n v="58"/>
  </r>
  <r>
    <n v="3368"/>
    <x v="136"/>
    <x v="2"/>
    <d v="2024-07-12T00:00:00"/>
    <x v="0"/>
    <n v="10"/>
    <x v="1"/>
    <x v="1"/>
    <s v="-"/>
    <s v="Yes"/>
    <n v="20"/>
    <n v="10"/>
    <n v="20"/>
  </r>
  <r>
    <n v="3369"/>
    <x v="137"/>
    <x v="1"/>
    <d v="2024-07-13T00:00:00"/>
    <x v="1"/>
    <n v="5"/>
    <x v="2"/>
    <x v="1"/>
    <s v="-"/>
    <s v="No"/>
    <n v="0"/>
    <n v="1"/>
    <n v="4"/>
  </r>
  <r>
    <n v="3370"/>
    <x v="138"/>
    <x v="0"/>
    <d v="2024-07-14T00:00:00"/>
    <x v="0"/>
    <n v="15"/>
    <x v="0"/>
    <x v="0"/>
    <n v="30"/>
    <s v="Yes"/>
    <n v="20"/>
    <n v="15"/>
    <n v="50"/>
  </r>
  <r>
    <n v="3371"/>
    <x v="139"/>
    <x v="2"/>
    <d v="2024-07-15T00:00:00"/>
    <x v="1"/>
    <n v="10"/>
    <x v="0"/>
    <x v="1"/>
    <s v="-"/>
    <s v="Yes"/>
    <n v="20"/>
    <n v="5"/>
    <n v="25"/>
  </r>
  <r>
    <n v="3372"/>
    <x v="140"/>
    <x v="1"/>
    <d v="2024-07-16T00:00:00"/>
    <x v="0"/>
    <n v="5"/>
    <x v="1"/>
    <x v="1"/>
    <s v="-"/>
    <s v="No"/>
    <n v="0"/>
    <n v="0"/>
    <n v="5"/>
  </r>
  <r>
    <n v="3373"/>
    <x v="141"/>
    <x v="0"/>
    <d v="2024-07-17T00:00:00"/>
    <x v="1"/>
    <n v="15"/>
    <x v="2"/>
    <x v="0"/>
    <n v="30"/>
    <s v="Yes"/>
    <n v="20"/>
    <n v="20"/>
    <n v="45"/>
  </r>
  <r>
    <n v="3374"/>
    <x v="142"/>
    <x v="2"/>
    <d v="2024-07-18T00:00:00"/>
    <x v="0"/>
    <n v="10"/>
    <x v="2"/>
    <x v="1"/>
    <s v="-"/>
    <s v="Yes"/>
    <n v="20"/>
    <n v="12"/>
    <n v="18"/>
  </r>
  <r>
    <n v="3375"/>
    <x v="143"/>
    <x v="1"/>
    <d v="2024-07-19T00:00:00"/>
    <x v="1"/>
    <n v="5"/>
    <x v="0"/>
    <x v="1"/>
    <s v="-"/>
    <s v="No"/>
    <n v="0"/>
    <n v="2"/>
    <n v="3"/>
  </r>
  <r>
    <n v="3376"/>
    <x v="144"/>
    <x v="0"/>
    <d v="2024-07-20T00:00:00"/>
    <x v="0"/>
    <n v="15"/>
    <x v="1"/>
    <x v="0"/>
    <n v="30"/>
    <s v="Yes"/>
    <n v="20"/>
    <n v="5"/>
    <n v="60"/>
  </r>
  <r>
    <n v="3377"/>
    <x v="145"/>
    <x v="2"/>
    <d v="2024-07-21T00:00:00"/>
    <x v="1"/>
    <n v="10"/>
    <x v="0"/>
    <x v="1"/>
    <s v="-"/>
    <s v="Yes"/>
    <n v="20"/>
    <n v="10"/>
    <n v="20"/>
  </r>
  <r>
    <n v="3378"/>
    <x v="146"/>
    <x v="1"/>
    <d v="2024-07-22T00:00:00"/>
    <x v="0"/>
    <n v="5"/>
    <x v="2"/>
    <x v="1"/>
    <s v="-"/>
    <s v="No"/>
    <n v="0"/>
    <n v="0"/>
    <n v="5"/>
  </r>
  <r>
    <n v="3379"/>
    <x v="147"/>
    <x v="0"/>
    <d v="2024-07-23T00:00:00"/>
    <x v="1"/>
    <n v="15"/>
    <x v="0"/>
    <x v="0"/>
    <n v="30"/>
    <s v="Yes"/>
    <n v="20"/>
    <n v="3"/>
    <n v="62"/>
  </r>
  <r>
    <n v="3380"/>
    <x v="148"/>
    <x v="2"/>
    <d v="2024-07-24T00:00:00"/>
    <x v="0"/>
    <n v="10"/>
    <x v="1"/>
    <x v="1"/>
    <s v="-"/>
    <s v="Yes"/>
    <n v="20"/>
    <n v="15"/>
    <n v="15"/>
  </r>
  <r>
    <n v="3381"/>
    <x v="149"/>
    <x v="1"/>
    <d v="2024-07-25T00:00:00"/>
    <x v="1"/>
    <n v="5"/>
    <x v="0"/>
    <x v="1"/>
    <s v="-"/>
    <s v="No"/>
    <n v="0"/>
    <n v="1"/>
    <n v="4"/>
  </r>
  <r>
    <n v="3382"/>
    <x v="150"/>
    <x v="0"/>
    <d v="2024-07-26T00:00:00"/>
    <x v="0"/>
    <n v="15"/>
    <x v="2"/>
    <x v="0"/>
    <n v="30"/>
    <s v="Yes"/>
    <n v="20"/>
    <n v="7"/>
    <n v="58"/>
  </r>
  <r>
    <n v="3383"/>
    <x v="151"/>
    <x v="2"/>
    <d v="2024-07-27T00:00:00"/>
    <x v="1"/>
    <n v="10"/>
    <x v="0"/>
    <x v="1"/>
    <s v="-"/>
    <s v="Yes"/>
    <n v="20"/>
    <n v="10"/>
    <n v="20"/>
  </r>
  <r>
    <n v="3384"/>
    <x v="152"/>
    <x v="1"/>
    <d v="2024-07-28T00:00:00"/>
    <x v="0"/>
    <n v="5"/>
    <x v="1"/>
    <x v="1"/>
    <s v="-"/>
    <s v="No"/>
    <n v="0"/>
    <n v="0"/>
    <n v="5"/>
  </r>
  <r>
    <n v="3385"/>
    <x v="153"/>
    <x v="0"/>
    <d v="2024-07-29T00:00:00"/>
    <x v="1"/>
    <n v="15"/>
    <x v="0"/>
    <x v="0"/>
    <n v="30"/>
    <s v="Yes"/>
    <n v="20"/>
    <n v="20"/>
    <n v="45"/>
  </r>
  <r>
    <n v="3386"/>
    <x v="154"/>
    <x v="2"/>
    <d v="2024-07-30T00:00:00"/>
    <x v="0"/>
    <n v="10"/>
    <x v="2"/>
    <x v="1"/>
    <s v="-"/>
    <s v="Yes"/>
    <n v="20"/>
    <n v="15"/>
    <n v="15"/>
  </r>
  <r>
    <n v="3387"/>
    <x v="155"/>
    <x v="1"/>
    <d v="2024-07-31T00:00:00"/>
    <x v="1"/>
    <n v="5"/>
    <x v="0"/>
    <x v="1"/>
    <s v="-"/>
    <s v="No"/>
    <n v="0"/>
    <n v="1"/>
    <n v="4"/>
  </r>
  <r>
    <n v="3388"/>
    <x v="156"/>
    <x v="0"/>
    <d v="2024-08-01T00:00:00"/>
    <x v="0"/>
    <n v="15"/>
    <x v="1"/>
    <x v="0"/>
    <n v="30"/>
    <s v="Yes"/>
    <n v="20"/>
    <n v="3"/>
    <n v="62"/>
  </r>
  <r>
    <n v="3389"/>
    <x v="157"/>
    <x v="2"/>
    <d v="2024-08-02T00:00:00"/>
    <x v="1"/>
    <n v="10"/>
    <x v="0"/>
    <x v="1"/>
    <s v="-"/>
    <s v="Yes"/>
    <n v="20"/>
    <n v="10"/>
    <n v="20"/>
  </r>
  <r>
    <n v="3390"/>
    <x v="158"/>
    <x v="1"/>
    <d v="2024-08-03T00:00:00"/>
    <x v="0"/>
    <n v="5"/>
    <x v="2"/>
    <x v="1"/>
    <s v="-"/>
    <s v="No"/>
    <n v="0"/>
    <n v="0"/>
    <n v="5"/>
  </r>
  <r>
    <n v="3391"/>
    <x v="58"/>
    <x v="0"/>
    <d v="2024-08-04T00:00:00"/>
    <x v="1"/>
    <n v="15"/>
    <x v="0"/>
    <x v="0"/>
    <n v="30"/>
    <s v="Yes"/>
    <n v="20"/>
    <n v="15"/>
    <n v="50"/>
  </r>
  <r>
    <n v="3392"/>
    <x v="159"/>
    <x v="2"/>
    <d v="2024-08-05T00:00:00"/>
    <x v="0"/>
    <n v="10"/>
    <x v="1"/>
    <x v="1"/>
    <s v="-"/>
    <s v="Yes"/>
    <n v="20"/>
    <n v="15"/>
    <n v="15"/>
  </r>
  <r>
    <n v="3393"/>
    <x v="160"/>
    <x v="1"/>
    <d v="2024-08-06T00:00:00"/>
    <x v="1"/>
    <n v="5"/>
    <x v="0"/>
    <x v="1"/>
    <s v="-"/>
    <s v="No"/>
    <n v="0"/>
    <n v="1"/>
    <n v="4"/>
  </r>
  <r>
    <n v="3394"/>
    <x v="161"/>
    <x v="0"/>
    <d v="2024-08-07T00:00:00"/>
    <x v="0"/>
    <n v="15"/>
    <x v="2"/>
    <x v="0"/>
    <n v="30"/>
    <s v="Yes"/>
    <n v="20"/>
    <n v="7"/>
    <n v="58"/>
  </r>
  <r>
    <n v="3395"/>
    <x v="162"/>
    <x v="2"/>
    <d v="2024-08-08T00:00:00"/>
    <x v="1"/>
    <n v="10"/>
    <x v="0"/>
    <x v="1"/>
    <s v="-"/>
    <s v="Yes"/>
    <n v="20"/>
    <n v="10"/>
    <n v="20"/>
  </r>
  <r>
    <n v="3396"/>
    <x v="163"/>
    <x v="1"/>
    <d v="2024-08-09T00:00:00"/>
    <x v="0"/>
    <n v="5"/>
    <x v="1"/>
    <x v="1"/>
    <s v="-"/>
    <s v="No"/>
    <n v="0"/>
    <n v="0"/>
    <n v="5"/>
  </r>
  <r>
    <n v="3397"/>
    <x v="90"/>
    <x v="0"/>
    <d v="2024-08-10T00:00:00"/>
    <x v="1"/>
    <n v="15"/>
    <x v="0"/>
    <x v="0"/>
    <n v="30"/>
    <s v="Yes"/>
    <n v="20"/>
    <n v="20"/>
    <n v="45"/>
  </r>
  <r>
    <n v="3398"/>
    <x v="164"/>
    <x v="2"/>
    <d v="2024-08-11T00:00:00"/>
    <x v="0"/>
    <n v="10"/>
    <x v="2"/>
    <x v="1"/>
    <s v="-"/>
    <s v="Yes"/>
    <n v="20"/>
    <n v="15"/>
    <n v="15"/>
  </r>
  <r>
    <n v="3399"/>
    <x v="165"/>
    <x v="1"/>
    <d v="2024-08-12T00:00:00"/>
    <x v="1"/>
    <n v="5"/>
    <x v="0"/>
    <x v="1"/>
    <s v="-"/>
    <s v="No"/>
    <n v="0"/>
    <n v="1"/>
    <n v="4"/>
  </r>
  <r>
    <n v="3400"/>
    <x v="166"/>
    <x v="0"/>
    <d v="2024-08-13T00:00:00"/>
    <x v="0"/>
    <n v="15"/>
    <x v="1"/>
    <x v="0"/>
    <n v="30"/>
    <s v="Yes"/>
    <n v="20"/>
    <n v="5"/>
    <n v="60"/>
  </r>
  <r>
    <n v="3401"/>
    <x v="167"/>
    <x v="2"/>
    <d v="2024-08-14T00:00:00"/>
    <x v="1"/>
    <n v="10"/>
    <x v="0"/>
    <x v="1"/>
    <s v="-"/>
    <s v="Yes"/>
    <n v="20"/>
    <n v="10"/>
    <n v="20"/>
  </r>
  <r>
    <n v="3402"/>
    <x v="168"/>
    <x v="1"/>
    <d v="2024-08-15T00:00:00"/>
    <x v="0"/>
    <n v="5"/>
    <x v="2"/>
    <x v="1"/>
    <s v="-"/>
    <s v="No"/>
    <n v="0"/>
    <n v="0"/>
    <n v="5"/>
  </r>
  <r>
    <n v="3403"/>
    <x v="169"/>
    <x v="0"/>
    <d v="2024-08-16T00:00:00"/>
    <x v="1"/>
    <n v="15"/>
    <x v="0"/>
    <x v="0"/>
    <n v="30"/>
    <s v="Yes"/>
    <n v="20"/>
    <n v="3"/>
    <n v="62"/>
  </r>
  <r>
    <n v="3404"/>
    <x v="170"/>
    <x v="2"/>
    <d v="2024-08-17T00:00:00"/>
    <x v="0"/>
    <n v="10"/>
    <x v="1"/>
    <x v="1"/>
    <s v="-"/>
    <s v="Yes"/>
    <n v="20"/>
    <n v="15"/>
    <n v="15"/>
  </r>
  <r>
    <n v="3405"/>
    <x v="171"/>
    <x v="1"/>
    <d v="2024-08-18T00:00:00"/>
    <x v="1"/>
    <n v="5"/>
    <x v="0"/>
    <x v="1"/>
    <s v="-"/>
    <s v="No"/>
    <n v="0"/>
    <n v="1"/>
    <n v="4"/>
  </r>
  <r>
    <n v="3406"/>
    <x v="172"/>
    <x v="1"/>
    <d v="2024-08-19T00:00:00"/>
    <x v="0"/>
    <n v="5"/>
    <x v="0"/>
    <x v="1"/>
    <s v="-"/>
    <s v="No"/>
    <n v="0"/>
    <n v="0"/>
    <n v="5"/>
  </r>
  <r>
    <n v="3407"/>
    <x v="173"/>
    <x v="0"/>
    <d v="2024-08-20T00:00:00"/>
    <x v="1"/>
    <n v="15"/>
    <x v="2"/>
    <x v="0"/>
    <n v="30"/>
    <s v="Yes"/>
    <n v="20"/>
    <n v="7"/>
    <n v="58"/>
  </r>
  <r>
    <n v="3408"/>
    <x v="174"/>
    <x v="2"/>
    <d v="2024-08-21T00:00:00"/>
    <x v="0"/>
    <n v="10"/>
    <x v="1"/>
    <x v="1"/>
    <s v="-"/>
    <s v="Yes"/>
    <n v="20"/>
    <n v="10"/>
    <n v="20"/>
  </r>
  <r>
    <n v="3409"/>
    <x v="175"/>
    <x v="1"/>
    <d v="2024-08-22T00:00:00"/>
    <x v="1"/>
    <n v="5"/>
    <x v="2"/>
    <x v="1"/>
    <s v="-"/>
    <s v="No"/>
    <n v="0"/>
    <n v="1"/>
    <n v="4"/>
  </r>
  <r>
    <n v="3410"/>
    <x v="176"/>
    <x v="0"/>
    <d v="2024-08-23T00:00:00"/>
    <x v="0"/>
    <n v="15"/>
    <x v="0"/>
    <x v="0"/>
    <n v="30"/>
    <s v="Yes"/>
    <n v="20"/>
    <n v="15"/>
    <n v="50"/>
  </r>
  <r>
    <n v="3411"/>
    <x v="177"/>
    <x v="2"/>
    <d v="2024-08-24T00:00:00"/>
    <x v="1"/>
    <n v="10"/>
    <x v="0"/>
    <x v="1"/>
    <s v="-"/>
    <s v="Yes"/>
    <n v="20"/>
    <n v="5"/>
    <n v="25"/>
  </r>
  <r>
    <n v="3412"/>
    <x v="178"/>
    <x v="1"/>
    <d v="2024-08-25T00:00:00"/>
    <x v="0"/>
    <n v="5"/>
    <x v="1"/>
    <x v="1"/>
    <s v="-"/>
    <s v="No"/>
    <n v="0"/>
    <n v="0"/>
    <n v="5"/>
  </r>
  <r>
    <n v="3413"/>
    <x v="179"/>
    <x v="0"/>
    <d v="2024-08-26T00:00:00"/>
    <x v="1"/>
    <n v="15"/>
    <x v="2"/>
    <x v="0"/>
    <n v="30"/>
    <s v="Yes"/>
    <n v="20"/>
    <n v="20"/>
    <n v="45"/>
  </r>
  <r>
    <n v="3414"/>
    <x v="180"/>
    <x v="2"/>
    <d v="2024-08-27T00:00:00"/>
    <x v="0"/>
    <n v="10"/>
    <x v="2"/>
    <x v="1"/>
    <s v="-"/>
    <s v="Yes"/>
    <n v="20"/>
    <n v="12"/>
    <n v="18"/>
  </r>
  <r>
    <n v="3415"/>
    <x v="181"/>
    <x v="1"/>
    <d v="2024-08-28T00:00:00"/>
    <x v="1"/>
    <n v="5"/>
    <x v="0"/>
    <x v="1"/>
    <s v="-"/>
    <s v="No"/>
    <n v="0"/>
    <n v="2"/>
    <n v="3"/>
  </r>
  <r>
    <n v="3416"/>
    <x v="182"/>
    <x v="0"/>
    <d v="2024-08-29T00:00:00"/>
    <x v="0"/>
    <n v="15"/>
    <x v="1"/>
    <x v="0"/>
    <n v="30"/>
    <s v="Yes"/>
    <n v="20"/>
    <n v="5"/>
    <n v="60"/>
  </r>
  <r>
    <n v="3417"/>
    <x v="183"/>
    <x v="2"/>
    <d v="2024-08-30T00:00:00"/>
    <x v="1"/>
    <n v="10"/>
    <x v="0"/>
    <x v="1"/>
    <s v="-"/>
    <s v="Yes"/>
    <n v="20"/>
    <n v="10"/>
    <n v="20"/>
  </r>
  <r>
    <n v="3418"/>
    <x v="184"/>
    <x v="1"/>
    <d v="2024-08-31T00:00:00"/>
    <x v="0"/>
    <n v="5"/>
    <x v="2"/>
    <x v="1"/>
    <s v="-"/>
    <s v="No"/>
    <n v="0"/>
    <n v="0"/>
    <n v="5"/>
  </r>
  <r>
    <n v="3419"/>
    <x v="185"/>
    <x v="0"/>
    <d v="2024-09-01T00:00:00"/>
    <x v="1"/>
    <n v="15"/>
    <x v="0"/>
    <x v="0"/>
    <n v="30"/>
    <s v="Yes"/>
    <n v="20"/>
    <n v="3"/>
    <n v="62"/>
  </r>
  <r>
    <n v="3420"/>
    <x v="186"/>
    <x v="2"/>
    <d v="2024-09-02T00:00:00"/>
    <x v="0"/>
    <n v="10"/>
    <x v="1"/>
    <x v="1"/>
    <s v="-"/>
    <s v="Yes"/>
    <n v="20"/>
    <n v="15"/>
    <n v="15"/>
  </r>
  <r>
    <n v="3421"/>
    <x v="15"/>
    <x v="1"/>
    <d v="2024-09-03T00:00:00"/>
    <x v="1"/>
    <n v="5"/>
    <x v="0"/>
    <x v="1"/>
    <s v="-"/>
    <s v="No"/>
    <n v="0"/>
    <n v="1"/>
    <n v="4"/>
  </r>
  <r>
    <n v="3422"/>
    <x v="187"/>
    <x v="0"/>
    <d v="2024-09-04T00:00:00"/>
    <x v="0"/>
    <n v="15"/>
    <x v="2"/>
    <x v="0"/>
    <n v="30"/>
    <s v="Yes"/>
    <n v="20"/>
    <n v="7"/>
    <n v="58"/>
  </r>
  <r>
    <n v="3423"/>
    <x v="188"/>
    <x v="2"/>
    <d v="2024-09-05T00:00:00"/>
    <x v="1"/>
    <n v="10"/>
    <x v="0"/>
    <x v="1"/>
    <s v="-"/>
    <s v="Yes"/>
    <n v="20"/>
    <n v="10"/>
    <n v="20"/>
  </r>
  <r>
    <n v="3424"/>
    <x v="14"/>
    <x v="1"/>
    <d v="2024-09-06T00:00:00"/>
    <x v="0"/>
    <n v="5"/>
    <x v="1"/>
    <x v="1"/>
    <s v="-"/>
    <s v="No"/>
    <n v="0"/>
    <n v="0"/>
    <n v="5"/>
  </r>
  <r>
    <n v="3425"/>
    <x v="189"/>
    <x v="0"/>
    <d v="2024-09-07T00:00:00"/>
    <x v="1"/>
    <n v="15"/>
    <x v="0"/>
    <x v="0"/>
    <n v="30"/>
    <s v="Yes"/>
    <n v="20"/>
    <n v="20"/>
    <n v="45"/>
  </r>
  <r>
    <n v="3426"/>
    <x v="167"/>
    <x v="2"/>
    <d v="2024-09-08T00:00:00"/>
    <x v="0"/>
    <n v="10"/>
    <x v="2"/>
    <x v="1"/>
    <s v="-"/>
    <s v="Yes"/>
    <n v="20"/>
    <n v="15"/>
    <n v="15"/>
  </r>
  <r>
    <n v="3427"/>
    <x v="190"/>
    <x v="1"/>
    <d v="2024-09-09T00:00:00"/>
    <x v="1"/>
    <n v="5"/>
    <x v="0"/>
    <x v="1"/>
    <s v="-"/>
    <s v="No"/>
    <n v="0"/>
    <n v="1"/>
    <n v="4"/>
  </r>
  <r>
    <n v="3428"/>
    <x v="191"/>
    <x v="0"/>
    <d v="2024-09-10T00:00:00"/>
    <x v="0"/>
    <n v="15"/>
    <x v="1"/>
    <x v="0"/>
    <n v="30"/>
    <s v="Yes"/>
    <n v="20"/>
    <n v="3"/>
    <n v="62"/>
  </r>
  <r>
    <n v="3429"/>
    <x v="192"/>
    <x v="2"/>
    <d v="2024-09-11T00:00:00"/>
    <x v="1"/>
    <n v="10"/>
    <x v="0"/>
    <x v="1"/>
    <s v="-"/>
    <s v="Yes"/>
    <n v="20"/>
    <n v="10"/>
    <n v="20"/>
  </r>
  <r>
    <n v="3430"/>
    <x v="193"/>
    <x v="1"/>
    <d v="2024-09-12T00:00:00"/>
    <x v="0"/>
    <n v="5"/>
    <x v="2"/>
    <x v="1"/>
    <s v="-"/>
    <s v="No"/>
    <n v="0"/>
    <n v="0"/>
    <n v="5"/>
  </r>
  <r>
    <n v="3431"/>
    <x v="194"/>
    <x v="0"/>
    <d v="2024-09-13T00:00:00"/>
    <x v="1"/>
    <n v="15"/>
    <x v="0"/>
    <x v="0"/>
    <n v="30"/>
    <s v="Yes"/>
    <n v="20"/>
    <n v="15"/>
    <n v="50"/>
  </r>
  <r>
    <n v="3432"/>
    <x v="195"/>
    <x v="2"/>
    <d v="2024-09-14T00:00:00"/>
    <x v="0"/>
    <n v="10"/>
    <x v="1"/>
    <x v="1"/>
    <s v="-"/>
    <s v="Yes"/>
    <n v="20"/>
    <n v="15"/>
    <n v="15"/>
  </r>
  <r>
    <n v="3433"/>
    <x v="196"/>
    <x v="1"/>
    <d v="2024-09-15T00:00:00"/>
    <x v="1"/>
    <n v="5"/>
    <x v="0"/>
    <x v="1"/>
    <s v="-"/>
    <s v="No"/>
    <n v="0"/>
    <n v="1"/>
    <n v="4"/>
  </r>
  <r>
    <n v="3434"/>
    <x v="197"/>
    <x v="0"/>
    <d v="2024-09-16T00:00:00"/>
    <x v="0"/>
    <n v="15"/>
    <x v="2"/>
    <x v="0"/>
    <n v="30"/>
    <s v="Yes"/>
    <n v="20"/>
    <n v="7"/>
    <n v="58"/>
  </r>
  <r>
    <n v="3435"/>
    <x v="198"/>
    <x v="2"/>
    <d v="2024-09-17T00:00:00"/>
    <x v="1"/>
    <n v="10"/>
    <x v="0"/>
    <x v="1"/>
    <s v="-"/>
    <s v="Yes"/>
    <n v="20"/>
    <n v="10"/>
    <n v="20"/>
  </r>
  <r>
    <n v="3436"/>
    <x v="199"/>
    <x v="1"/>
    <d v="2024-09-18T00:00:00"/>
    <x v="0"/>
    <n v="5"/>
    <x v="0"/>
    <x v="1"/>
    <s v="-"/>
    <s v="No"/>
    <n v="0"/>
    <n v="0"/>
    <n v="5"/>
  </r>
  <r>
    <n v="3437"/>
    <x v="200"/>
    <x v="0"/>
    <d v="2024-09-19T00:00:00"/>
    <x v="1"/>
    <n v="15"/>
    <x v="2"/>
    <x v="0"/>
    <n v="30"/>
    <s v="Yes"/>
    <n v="20"/>
    <n v="7"/>
    <n v="58"/>
  </r>
  <r>
    <n v="3438"/>
    <x v="201"/>
    <x v="2"/>
    <d v="2024-09-20T00:00:00"/>
    <x v="0"/>
    <n v="10"/>
    <x v="1"/>
    <x v="1"/>
    <s v="-"/>
    <s v="Yes"/>
    <n v="20"/>
    <n v="10"/>
    <n v="20"/>
  </r>
  <r>
    <n v="3439"/>
    <x v="202"/>
    <x v="1"/>
    <d v="2024-09-21T00:00:00"/>
    <x v="1"/>
    <n v="5"/>
    <x v="2"/>
    <x v="1"/>
    <s v="-"/>
    <s v="No"/>
    <n v="0"/>
    <n v="1"/>
    <n v="4"/>
  </r>
  <r>
    <n v="3440"/>
    <x v="203"/>
    <x v="0"/>
    <d v="2024-09-22T00:00:00"/>
    <x v="0"/>
    <n v="15"/>
    <x v="0"/>
    <x v="0"/>
    <n v="30"/>
    <s v="Yes"/>
    <n v="20"/>
    <n v="15"/>
    <n v="50"/>
  </r>
  <r>
    <n v="3441"/>
    <x v="204"/>
    <x v="2"/>
    <d v="2024-09-23T00:00:00"/>
    <x v="1"/>
    <n v="10"/>
    <x v="0"/>
    <x v="1"/>
    <s v="-"/>
    <s v="Yes"/>
    <n v="20"/>
    <n v="5"/>
    <n v="25"/>
  </r>
  <r>
    <n v="3442"/>
    <x v="205"/>
    <x v="1"/>
    <d v="2024-09-24T00:00:00"/>
    <x v="0"/>
    <n v="5"/>
    <x v="1"/>
    <x v="1"/>
    <s v="-"/>
    <s v="No"/>
    <n v="0"/>
    <n v="0"/>
    <n v="5"/>
  </r>
  <r>
    <n v="3443"/>
    <x v="206"/>
    <x v="0"/>
    <d v="2024-09-25T00:00:00"/>
    <x v="1"/>
    <n v="15"/>
    <x v="2"/>
    <x v="0"/>
    <n v="30"/>
    <s v="Yes"/>
    <n v="20"/>
    <n v="20"/>
    <n v="45"/>
  </r>
  <r>
    <n v="3444"/>
    <x v="207"/>
    <x v="2"/>
    <d v="2024-09-26T00:00:00"/>
    <x v="0"/>
    <n v="10"/>
    <x v="2"/>
    <x v="1"/>
    <s v="-"/>
    <s v="Yes"/>
    <n v="20"/>
    <n v="12"/>
    <n v="18"/>
  </r>
  <r>
    <n v="3445"/>
    <x v="37"/>
    <x v="1"/>
    <d v="2024-09-27T00:00:00"/>
    <x v="1"/>
    <n v="5"/>
    <x v="0"/>
    <x v="1"/>
    <s v="-"/>
    <s v="No"/>
    <n v="0"/>
    <n v="2"/>
    <n v="3"/>
  </r>
  <r>
    <n v="3446"/>
    <x v="208"/>
    <x v="0"/>
    <d v="2024-09-28T00:00:00"/>
    <x v="0"/>
    <n v="15"/>
    <x v="1"/>
    <x v="0"/>
    <n v="30"/>
    <s v="Yes"/>
    <n v="20"/>
    <n v="5"/>
    <n v="60"/>
  </r>
  <r>
    <n v="3447"/>
    <x v="209"/>
    <x v="2"/>
    <d v="2024-09-29T00:00:00"/>
    <x v="1"/>
    <n v="10"/>
    <x v="0"/>
    <x v="1"/>
    <s v="-"/>
    <s v="Yes"/>
    <n v="20"/>
    <n v="10"/>
    <n v="20"/>
  </r>
  <r>
    <n v="3448"/>
    <x v="210"/>
    <x v="1"/>
    <d v="2024-09-30T00:00:00"/>
    <x v="0"/>
    <n v="5"/>
    <x v="2"/>
    <x v="1"/>
    <s v="-"/>
    <s v="No"/>
    <n v="0"/>
    <n v="0"/>
    <n v="5"/>
  </r>
  <r>
    <n v="3449"/>
    <x v="211"/>
    <x v="0"/>
    <d v="2024-10-01T00:00:00"/>
    <x v="1"/>
    <n v="15"/>
    <x v="0"/>
    <x v="0"/>
    <n v="30"/>
    <s v="Yes"/>
    <n v="20"/>
    <n v="3"/>
    <n v="62"/>
  </r>
  <r>
    <n v="3450"/>
    <x v="212"/>
    <x v="2"/>
    <d v="2024-10-02T00:00:00"/>
    <x v="0"/>
    <n v="10"/>
    <x v="1"/>
    <x v="1"/>
    <s v="-"/>
    <s v="Yes"/>
    <n v="20"/>
    <n v="15"/>
    <n v="15"/>
  </r>
  <r>
    <n v="3451"/>
    <x v="213"/>
    <x v="1"/>
    <d v="2024-10-03T00:00:00"/>
    <x v="1"/>
    <n v="5"/>
    <x v="0"/>
    <x v="1"/>
    <s v="-"/>
    <s v="No"/>
    <n v="0"/>
    <n v="1"/>
    <n v="4"/>
  </r>
  <r>
    <n v="3452"/>
    <x v="191"/>
    <x v="0"/>
    <d v="2024-10-04T00:00:00"/>
    <x v="0"/>
    <n v="15"/>
    <x v="2"/>
    <x v="0"/>
    <n v="30"/>
    <s v="Yes"/>
    <n v="20"/>
    <n v="7"/>
    <n v="58"/>
  </r>
  <r>
    <n v="3453"/>
    <x v="45"/>
    <x v="2"/>
    <d v="2024-10-05T00:00:00"/>
    <x v="1"/>
    <n v="10"/>
    <x v="0"/>
    <x v="1"/>
    <s v="-"/>
    <s v="Yes"/>
    <n v="20"/>
    <n v="10"/>
    <n v="20"/>
  </r>
  <r>
    <n v="3454"/>
    <x v="214"/>
    <x v="1"/>
    <d v="2024-10-06T00:00:00"/>
    <x v="0"/>
    <n v="5"/>
    <x v="1"/>
    <x v="1"/>
    <s v="-"/>
    <s v="No"/>
    <n v="0"/>
    <n v="0"/>
    <n v="5"/>
  </r>
  <r>
    <n v="3455"/>
    <x v="215"/>
    <x v="0"/>
    <d v="2024-10-07T00:00:00"/>
    <x v="1"/>
    <n v="15"/>
    <x v="0"/>
    <x v="0"/>
    <n v="30"/>
    <s v="Yes"/>
    <n v="20"/>
    <n v="20"/>
    <n v="45"/>
  </r>
  <r>
    <n v="3456"/>
    <x v="216"/>
    <x v="2"/>
    <d v="2024-10-08T00:00:00"/>
    <x v="0"/>
    <n v="10"/>
    <x v="2"/>
    <x v="1"/>
    <s v="-"/>
    <s v="Yes"/>
    <n v="20"/>
    <n v="15"/>
    <n v="15"/>
  </r>
  <r>
    <n v="3457"/>
    <x v="217"/>
    <x v="1"/>
    <d v="2024-10-09T00:00:00"/>
    <x v="1"/>
    <n v="5"/>
    <x v="0"/>
    <x v="1"/>
    <s v="-"/>
    <s v="No"/>
    <n v="0"/>
    <n v="1"/>
    <n v="4"/>
  </r>
  <r>
    <n v="3458"/>
    <x v="218"/>
    <x v="0"/>
    <d v="2024-10-10T00:00:00"/>
    <x v="0"/>
    <n v="15"/>
    <x v="1"/>
    <x v="0"/>
    <n v="30"/>
    <s v="Yes"/>
    <n v="20"/>
    <n v="3"/>
    <n v="62"/>
  </r>
  <r>
    <n v="3459"/>
    <x v="219"/>
    <x v="2"/>
    <d v="2024-10-11T00:00:00"/>
    <x v="1"/>
    <n v="10"/>
    <x v="0"/>
    <x v="1"/>
    <s v="-"/>
    <s v="Yes"/>
    <n v="20"/>
    <n v="10"/>
    <n v="20"/>
  </r>
  <r>
    <n v="3460"/>
    <x v="127"/>
    <x v="1"/>
    <d v="2024-10-12T00:00:00"/>
    <x v="0"/>
    <n v="5"/>
    <x v="2"/>
    <x v="1"/>
    <s v="-"/>
    <s v="No"/>
    <n v="0"/>
    <n v="0"/>
    <n v="5"/>
  </r>
  <r>
    <n v="3461"/>
    <x v="220"/>
    <x v="0"/>
    <d v="2024-10-13T00:00:00"/>
    <x v="1"/>
    <n v="15"/>
    <x v="0"/>
    <x v="0"/>
    <n v="30"/>
    <s v="Yes"/>
    <n v="20"/>
    <n v="15"/>
    <n v="50"/>
  </r>
  <r>
    <n v="3462"/>
    <x v="221"/>
    <x v="2"/>
    <d v="2024-10-14T00:00:00"/>
    <x v="0"/>
    <n v="10"/>
    <x v="1"/>
    <x v="1"/>
    <s v="-"/>
    <s v="Yes"/>
    <n v="20"/>
    <n v="15"/>
    <n v="15"/>
  </r>
  <r>
    <n v="3463"/>
    <x v="222"/>
    <x v="1"/>
    <d v="2024-10-15T00:00:00"/>
    <x v="1"/>
    <n v="5"/>
    <x v="0"/>
    <x v="1"/>
    <s v="-"/>
    <s v="No"/>
    <n v="0"/>
    <n v="1"/>
    <n v="4"/>
  </r>
  <r>
    <n v="3464"/>
    <x v="223"/>
    <x v="0"/>
    <d v="2024-10-16T00:00:00"/>
    <x v="0"/>
    <n v="15"/>
    <x v="2"/>
    <x v="0"/>
    <n v="30"/>
    <s v="Yes"/>
    <n v="20"/>
    <n v="7"/>
    <n v="58"/>
  </r>
  <r>
    <n v="3465"/>
    <x v="224"/>
    <x v="2"/>
    <d v="2024-10-17T00:00:00"/>
    <x v="1"/>
    <n v="10"/>
    <x v="0"/>
    <x v="1"/>
    <s v="-"/>
    <s v="Yes"/>
    <n v="20"/>
    <n v="10"/>
    <n v="20"/>
  </r>
  <r>
    <n v="3466"/>
    <x v="225"/>
    <x v="1"/>
    <d v="2024-10-18T00:00:00"/>
    <x v="0"/>
    <n v="5"/>
    <x v="1"/>
    <x v="1"/>
    <s v="-"/>
    <s v="No"/>
    <n v="0"/>
    <n v="0"/>
    <n v="5"/>
  </r>
  <r>
    <n v="3467"/>
    <x v="226"/>
    <x v="0"/>
    <d v="2024-10-19T00:00:00"/>
    <x v="1"/>
    <n v="15"/>
    <x v="0"/>
    <x v="0"/>
    <n v="30"/>
    <s v="Yes"/>
    <n v="20"/>
    <n v="15"/>
    <n v="50"/>
  </r>
  <r>
    <n v="3468"/>
    <x v="227"/>
    <x v="2"/>
    <d v="2024-10-20T00:00:00"/>
    <x v="0"/>
    <n v="10"/>
    <x v="2"/>
    <x v="1"/>
    <s v="-"/>
    <s v="Yes"/>
    <n v="20"/>
    <n v="12"/>
    <n v="18"/>
  </r>
  <r>
    <n v="3469"/>
    <x v="228"/>
    <x v="1"/>
    <d v="2024-10-21T00:00:00"/>
    <x v="1"/>
    <n v="5"/>
    <x v="0"/>
    <x v="1"/>
    <s v="-"/>
    <s v="No"/>
    <n v="0"/>
    <n v="2"/>
    <n v="3"/>
  </r>
  <r>
    <n v="3470"/>
    <x v="229"/>
    <x v="0"/>
    <d v="2024-10-22T00:00:00"/>
    <x v="0"/>
    <n v="15"/>
    <x v="1"/>
    <x v="0"/>
    <n v="30"/>
    <s v="Yes"/>
    <n v="20"/>
    <n v="5"/>
    <n v="60"/>
  </r>
  <r>
    <n v="3471"/>
    <x v="230"/>
    <x v="2"/>
    <d v="2024-10-23T00:00:00"/>
    <x v="1"/>
    <n v="10"/>
    <x v="0"/>
    <x v="1"/>
    <s v="-"/>
    <s v="Yes"/>
    <n v="20"/>
    <n v="10"/>
    <n v="20"/>
  </r>
  <r>
    <n v="3472"/>
    <x v="231"/>
    <x v="1"/>
    <d v="2024-10-24T00:00:00"/>
    <x v="0"/>
    <n v="5"/>
    <x v="2"/>
    <x v="1"/>
    <s v="-"/>
    <s v="No"/>
    <n v="0"/>
    <n v="0"/>
    <n v="5"/>
  </r>
  <r>
    <n v="3473"/>
    <x v="140"/>
    <x v="0"/>
    <d v="2024-10-25T00:00:00"/>
    <x v="1"/>
    <n v="15"/>
    <x v="0"/>
    <x v="0"/>
    <n v="30"/>
    <s v="Yes"/>
    <n v="20"/>
    <n v="3"/>
    <n v="62"/>
  </r>
  <r>
    <n v="3474"/>
    <x v="232"/>
    <x v="2"/>
    <d v="2024-10-26T00:00:00"/>
    <x v="0"/>
    <n v="10"/>
    <x v="1"/>
    <x v="1"/>
    <s v="-"/>
    <s v="Yes"/>
    <n v="20"/>
    <n v="15"/>
    <n v="15"/>
  </r>
  <r>
    <n v="3475"/>
    <x v="233"/>
    <x v="1"/>
    <d v="2024-10-27T00:00:00"/>
    <x v="1"/>
    <n v="5"/>
    <x v="0"/>
    <x v="1"/>
    <s v="-"/>
    <s v="No"/>
    <n v="0"/>
    <n v="1"/>
    <n v="4"/>
  </r>
  <r>
    <n v="3476"/>
    <x v="234"/>
    <x v="0"/>
    <d v="2024-10-28T00:00:00"/>
    <x v="0"/>
    <n v="15"/>
    <x v="2"/>
    <x v="0"/>
    <n v="30"/>
    <s v="Yes"/>
    <n v="20"/>
    <n v="7"/>
    <n v="58"/>
  </r>
  <r>
    <n v="3477"/>
    <x v="235"/>
    <x v="2"/>
    <d v="2024-10-29T00:00:00"/>
    <x v="1"/>
    <n v="10"/>
    <x v="0"/>
    <x v="1"/>
    <s v="-"/>
    <s v="Yes"/>
    <n v="20"/>
    <n v="10"/>
    <n v="20"/>
  </r>
  <r>
    <n v="3478"/>
    <x v="236"/>
    <x v="1"/>
    <d v="2024-10-30T00:00:00"/>
    <x v="0"/>
    <n v="5"/>
    <x v="1"/>
    <x v="1"/>
    <s v="-"/>
    <s v="No"/>
    <n v="0"/>
    <n v="0"/>
    <n v="5"/>
  </r>
  <r>
    <n v="3479"/>
    <x v="237"/>
    <x v="0"/>
    <d v="2024-10-31T00:00:00"/>
    <x v="1"/>
    <n v="15"/>
    <x v="0"/>
    <x v="0"/>
    <n v="30"/>
    <s v="Yes"/>
    <n v="20"/>
    <n v="20"/>
    <n v="45"/>
  </r>
  <r>
    <n v="3480"/>
    <x v="238"/>
    <x v="2"/>
    <d v="2024-11-01T00:00:00"/>
    <x v="0"/>
    <n v="10"/>
    <x v="2"/>
    <x v="1"/>
    <s v="-"/>
    <s v="Yes"/>
    <n v="20"/>
    <n v="15"/>
    <n v="15"/>
  </r>
  <r>
    <n v="3481"/>
    <x v="239"/>
    <x v="1"/>
    <d v="2024-11-02T00:00:00"/>
    <x v="1"/>
    <n v="5"/>
    <x v="0"/>
    <x v="1"/>
    <s v="-"/>
    <s v="No"/>
    <n v="0"/>
    <n v="1"/>
    <n v="4"/>
  </r>
  <r>
    <n v="3482"/>
    <x v="240"/>
    <x v="0"/>
    <d v="2024-11-03T00:00:00"/>
    <x v="0"/>
    <n v="15"/>
    <x v="1"/>
    <x v="0"/>
    <n v="30"/>
    <s v="Yes"/>
    <n v="20"/>
    <n v="3"/>
    <n v="62"/>
  </r>
  <r>
    <n v="3483"/>
    <x v="241"/>
    <x v="2"/>
    <d v="2024-11-04T00:00:00"/>
    <x v="1"/>
    <n v="10"/>
    <x v="0"/>
    <x v="1"/>
    <s v="-"/>
    <s v="Yes"/>
    <n v="20"/>
    <n v="10"/>
    <n v="20"/>
  </r>
  <r>
    <n v="3484"/>
    <x v="242"/>
    <x v="1"/>
    <d v="2024-11-05T00:00:00"/>
    <x v="0"/>
    <n v="5"/>
    <x v="2"/>
    <x v="1"/>
    <s v="-"/>
    <s v="No"/>
    <n v="0"/>
    <n v="0"/>
    <n v="5"/>
  </r>
  <r>
    <n v="3485"/>
    <x v="243"/>
    <x v="0"/>
    <d v="2024-11-06T00:00:00"/>
    <x v="1"/>
    <n v="15"/>
    <x v="0"/>
    <x v="0"/>
    <n v="30"/>
    <s v="Yes"/>
    <n v="20"/>
    <n v="15"/>
    <n v="50"/>
  </r>
  <r>
    <n v="3486"/>
    <x v="244"/>
    <x v="1"/>
    <d v="2024-11-07T00:00:00"/>
    <x v="0"/>
    <n v="5"/>
    <x v="0"/>
    <x v="1"/>
    <s v="-"/>
    <s v="No"/>
    <n v="0"/>
    <n v="0"/>
    <n v="5"/>
  </r>
  <r>
    <n v="3487"/>
    <x v="245"/>
    <x v="0"/>
    <d v="2024-11-08T00:00:00"/>
    <x v="1"/>
    <n v="15"/>
    <x v="2"/>
    <x v="0"/>
    <n v="30"/>
    <s v="Yes"/>
    <n v="20"/>
    <n v="7"/>
    <n v="58"/>
  </r>
  <r>
    <n v="3488"/>
    <x v="246"/>
    <x v="2"/>
    <d v="2024-11-09T00:00:00"/>
    <x v="0"/>
    <n v="10"/>
    <x v="1"/>
    <x v="1"/>
    <s v="-"/>
    <s v="Yes"/>
    <n v="20"/>
    <n v="10"/>
    <n v="20"/>
  </r>
  <r>
    <n v="3489"/>
    <x v="247"/>
    <x v="1"/>
    <d v="2024-11-10T00:00:00"/>
    <x v="1"/>
    <n v="5"/>
    <x v="2"/>
    <x v="1"/>
    <s v="-"/>
    <s v="No"/>
    <n v="0"/>
    <n v="1"/>
    <n v="4"/>
  </r>
  <r>
    <n v="3490"/>
    <x v="248"/>
    <x v="0"/>
    <d v="2024-11-11T00:00:00"/>
    <x v="0"/>
    <n v="15"/>
    <x v="0"/>
    <x v="0"/>
    <n v="30"/>
    <s v="Yes"/>
    <n v="20"/>
    <n v="15"/>
    <n v="50"/>
  </r>
  <r>
    <n v="3491"/>
    <x v="249"/>
    <x v="2"/>
    <d v="2024-11-12T00:00:00"/>
    <x v="1"/>
    <n v="10"/>
    <x v="0"/>
    <x v="1"/>
    <s v="-"/>
    <s v="Yes"/>
    <n v="20"/>
    <n v="5"/>
    <n v="25"/>
  </r>
  <r>
    <n v="3492"/>
    <x v="250"/>
    <x v="1"/>
    <d v="2024-11-13T00:00:00"/>
    <x v="0"/>
    <n v="5"/>
    <x v="1"/>
    <x v="1"/>
    <s v="-"/>
    <s v="No"/>
    <n v="0"/>
    <n v="0"/>
    <n v="5"/>
  </r>
  <r>
    <n v="3493"/>
    <x v="251"/>
    <x v="0"/>
    <d v="2024-11-14T00:00:00"/>
    <x v="1"/>
    <n v="15"/>
    <x v="2"/>
    <x v="0"/>
    <n v="30"/>
    <s v="Yes"/>
    <n v="20"/>
    <n v="20"/>
    <n v="45"/>
  </r>
  <r>
    <n v="3494"/>
    <x v="252"/>
    <x v="2"/>
    <d v="2024-11-15T00:00:00"/>
    <x v="0"/>
    <n v="10"/>
    <x v="2"/>
    <x v="1"/>
    <s v="-"/>
    <s v="Yes"/>
    <n v="20"/>
    <n v="12"/>
    <n v="18"/>
  </r>
  <r>
    <n v="3495"/>
    <x v="253"/>
    <x v="1"/>
    <d v="2024-11-16T00:00:00"/>
    <x v="1"/>
    <n v="5"/>
    <x v="0"/>
    <x v="1"/>
    <s v="-"/>
    <s v="No"/>
    <n v="0"/>
    <n v="2"/>
    <n v="3"/>
  </r>
  <r>
    <n v="3496"/>
    <x v="254"/>
    <x v="0"/>
    <d v="2024-11-17T00:00:00"/>
    <x v="0"/>
    <n v="15"/>
    <x v="1"/>
    <x v="0"/>
    <n v="30"/>
    <s v="Yes"/>
    <n v="20"/>
    <n v="5"/>
    <n v="60"/>
  </r>
  <r>
    <n v="3497"/>
    <x v="255"/>
    <x v="2"/>
    <d v="2024-11-18T00:00:00"/>
    <x v="1"/>
    <n v="10"/>
    <x v="0"/>
    <x v="1"/>
    <s v="-"/>
    <s v="Yes"/>
    <n v="20"/>
    <n v="10"/>
    <n v="20"/>
  </r>
  <r>
    <n v="3498"/>
    <x v="256"/>
    <x v="1"/>
    <d v="2024-11-19T00:00:00"/>
    <x v="0"/>
    <n v="5"/>
    <x v="2"/>
    <x v="1"/>
    <s v="-"/>
    <s v="No"/>
    <n v="0"/>
    <n v="0"/>
    <n v="5"/>
  </r>
  <r>
    <n v="3499"/>
    <x v="257"/>
    <x v="0"/>
    <d v="2024-11-20T00:00:00"/>
    <x v="1"/>
    <n v="15"/>
    <x v="0"/>
    <x v="0"/>
    <n v="30"/>
    <s v="Yes"/>
    <n v="20"/>
    <n v="3"/>
    <n v="62"/>
  </r>
  <r>
    <n v="3500"/>
    <x v="258"/>
    <x v="2"/>
    <d v="2024-11-21T00:00:00"/>
    <x v="0"/>
    <n v="10"/>
    <x v="1"/>
    <x v="1"/>
    <s v="-"/>
    <s v="Yes"/>
    <n v="20"/>
    <n v="15"/>
    <n v="15"/>
  </r>
  <r>
    <n v="3501"/>
    <x v="259"/>
    <x v="1"/>
    <d v="2024-11-22T00:00:00"/>
    <x v="1"/>
    <n v="5"/>
    <x v="0"/>
    <x v="1"/>
    <s v="-"/>
    <s v="No"/>
    <n v="0"/>
    <n v="1"/>
    <n v="4"/>
  </r>
  <r>
    <n v="3502"/>
    <x v="260"/>
    <x v="0"/>
    <d v="2024-11-23T00:00:00"/>
    <x v="0"/>
    <n v="15"/>
    <x v="2"/>
    <x v="0"/>
    <n v="30"/>
    <s v="Yes"/>
    <n v="20"/>
    <n v="7"/>
    <n v="58"/>
  </r>
  <r>
    <n v="3503"/>
    <x v="119"/>
    <x v="2"/>
    <d v="2024-11-24T00:00:00"/>
    <x v="1"/>
    <n v="10"/>
    <x v="0"/>
    <x v="1"/>
    <s v="-"/>
    <s v="Yes"/>
    <n v="20"/>
    <n v="10"/>
    <n v="20"/>
  </r>
  <r>
    <n v="3504"/>
    <x v="261"/>
    <x v="1"/>
    <d v="2024-11-25T00:00:00"/>
    <x v="0"/>
    <n v="5"/>
    <x v="1"/>
    <x v="1"/>
    <s v="-"/>
    <s v="No"/>
    <n v="0"/>
    <n v="0"/>
    <n v="5"/>
  </r>
  <r>
    <n v="3505"/>
    <x v="262"/>
    <x v="0"/>
    <d v="2024-11-26T00:00:00"/>
    <x v="1"/>
    <n v="15"/>
    <x v="0"/>
    <x v="0"/>
    <n v="30"/>
    <s v="Yes"/>
    <n v="20"/>
    <n v="20"/>
    <n v="45"/>
  </r>
  <r>
    <n v="3506"/>
    <x v="263"/>
    <x v="2"/>
    <d v="2024-11-27T00:00:00"/>
    <x v="0"/>
    <n v="10"/>
    <x v="2"/>
    <x v="1"/>
    <s v="-"/>
    <s v="Yes"/>
    <n v="20"/>
    <n v="15"/>
    <n v="15"/>
  </r>
  <r>
    <n v="3507"/>
    <x v="264"/>
    <x v="1"/>
    <d v="2024-11-28T00:00:00"/>
    <x v="1"/>
    <n v="5"/>
    <x v="0"/>
    <x v="1"/>
    <s v="-"/>
    <s v="No"/>
    <n v="0"/>
    <n v="1"/>
    <n v="4"/>
  </r>
  <r>
    <n v="3508"/>
    <x v="265"/>
    <x v="0"/>
    <d v="2024-11-29T00:00:00"/>
    <x v="0"/>
    <n v="15"/>
    <x v="1"/>
    <x v="0"/>
    <n v="30"/>
    <s v="Yes"/>
    <n v="20"/>
    <n v="3"/>
    <n v="62"/>
  </r>
  <r>
    <n v="3509"/>
    <x v="266"/>
    <x v="2"/>
    <d v="2024-11-30T00:00:00"/>
    <x v="1"/>
    <n v="10"/>
    <x v="0"/>
    <x v="1"/>
    <s v="-"/>
    <s v="Yes"/>
    <n v="20"/>
    <n v="10"/>
    <n v="20"/>
  </r>
  <r>
    <n v="3510"/>
    <x v="267"/>
    <x v="1"/>
    <d v="2024-12-01T00:00:00"/>
    <x v="0"/>
    <n v="5"/>
    <x v="2"/>
    <x v="1"/>
    <s v="-"/>
    <s v="No"/>
    <n v="0"/>
    <n v="0"/>
    <n v="5"/>
  </r>
  <r>
    <n v="3511"/>
    <x v="268"/>
    <x v="0"/>
    <d v="2024-12-02T00:00:00"/>
    <x v="1"/>
    <n v="15"/>
    <x v="0"/>
    <x v="0"/>
    <n v="30"/>
    <s v="Yes"/>
    <n v="20"/>
    <n v="15"/>
    <n v="50"/>
  </r>
  <r>
    <n v="3512"/>
    <x v="269"/>
    <x v="2"/>
    <d v="2024-12-03T00:00:00"/>
    <x v="0"/>
    <n v="10"/>
    <x v="1"/>
    <x v="1"/>
    <s v="-"/>
    <s v="Yes"/>
    <n v="20"/>
    <n v="15"/>
    <n v="15"/>
  </r>
  <r>
    <n v="3513"/>
    <x v="270"/>
    <x v="1"/>
    <d v="2024-12-04T00:00:00"/>
    <x v="1"/>
    <n v="5"/>
    <x v="0"/>
    <x v="1"/>
    <s v="-"/>
    <s v="No"/>
    <n v="0"/>
    <n v="1"/>
    <n v="4"/>
  </r>
  <r>
    <n v="3514"/>
    <x v="271"/>
    <x v="0"/>
    <d v="2024-12-05T00:00:00"/>
    <x v="0"/>
    <n v="15"/>
    <x v="2"/>
    <x v="0"/>
    <n v="30"/>
    <s v="Yes"/>
    <n v="20"/>
    <n v="7"/>
    <n v="58"/>
  </r>
  <r>
    <n v="3515"/>
    <x v="130"/>
    <x v="2"/>
    <d v="2024-12-06T00:00:00"/>
    <x v="1"/>
    <n v="10"/>
    <x v="0"/>
    <x v="1"/>
    <s v="-"/>
    <s v="Yes"/>
    <n v="20"/>
    <n v="10"/>
    <n v="20"/>
  </r>
  <r>
    <n v="3516"/>
    <x v="131"/>
    <x v="1"/>
    <d v="2024-12-07T00:00:00"/>
    <x v="0"/>
    <n v="5"/>
    <x v="1"/>
    <x v="1"/>
    <s v="-"/>
    <s v="No"/>
    <n v="0"/>
    <n v="0"/>
    <n v="5"/>
  </r>
  <r>
    <n v="3517"/>
    <x v="181"/>
    <x v="0"/>
    <d v="2024-12-08T00:00:00"/>
    <x v="1"/>
    <n v="15"/>
    <x v="0"/>
    <x v="0"/>
    <n v="30"/>
    <s v="Yes"/>
    <n v="20"/>
    <n v="20"/>
    <n v="45"/>
  </r>
  <r>
    <n v="3518"/>
    <x v="272"/>
    <x v="2"/>
    <d v="2024-12-09T00:00:00"/>
    <x v="0"/>
    <n v="10"/>
    <x v="2"/>
    <x v="1"/>
    <s v="-"/>
    <s v="Yes"/>
    <n v="20"/>
    <n v="12"/>
    <n v="18"/>
  </r>
  <r>
    <n v="3519"/>
    <x v="273"/>
    <x v="1"/>
    <d v="2024-12-10T00:00:00"/>
    <x v="1"/>
    <n v="5"/>
    <x v="0"/>
    <x v="1"/>
    <s v="-"/>
    <s v="No"/>
    <n v="0"/>
    <n v="2"/>
    <n v="3"/>
  </r>
  <r>
    <n v="3520"/>
    <x v="274"/>
    <x v="0"/>
    <d v="2024-12-11T00:00:00"/>
    <x v="0"/>
    <n v="15"/>
    <x v="1"/>
    <x v="0"/>
    <n v="30"/>
    <s v="Yes"/>
    <n v="20"/>
    <n v="5"/>
    <n v="60"/>
  </r>
  <r>
    <n v="3521"/>
    <x v="275"/>
    <x v="2"/>
    <d v="2024-12-12T00:00:00"/>
    <x v="1"/>
    <n v="10"/>
    <x v="0"/>
    <x v="1"/>
    <s v="-"/>
    <s v="Yes"/>
    <n v="20"/>
    <n v="10"/>
    <n v="20"/>
  </r>
  <r>
    <n v="3522"/>
    <x v="276"/>
    <x v="1"/>
    <d v="2024-12-13T00:00:00"/>
    <x v="0"/>
    <n v="5"/>
    <x v="2"/>
    <x v="1"/>
    <s v="-"/>
    <s v="No"/>
    <n v="0"/>
    <n v="0"/>
    <n v="5"/>
  </r>
  <r>
    <n v="3523"/>
    <x v="277"/>
    <x v="0"/>
    <d v="2024-12-14T00:00:00"/>
    <x v="1"/>
    <n v="15"/>
    <x v="0"/>
    <x v="0"/>
    <n v="30"/>
    <s v="Yes"/>
    <n v="20"/>
    <n v="3"/>
    <n v="62"/>
  </r>
  <r>
    <n v="3524"/>
    <x v="278"/>
    <x v="2"/>
    <d v="2024-12-15T00:00:00"/>
    <x v="0"/>
    <n v="10"/>
    <x v="1"/>
    <x v="1"/>
    <s v="-"/>
    <s v="Yes"/>
    <n v="20"/>
    <n v="15"/>
    <n v="15"/>
  </r>
  <r>
    <n v="3525"/>
    <x v="279"/>
    <x v="1"/>
    <d v="2024-12-16T00:00:00"/>
    <x v="1"/>
    <n v="5"/>
    <x v="0"/>
    <x v="1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B063D-65E5-4758-B6DD-5432EEA8344F}" name="tbl_minecraft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28:C3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formats count="2">
    <format dxfId="145">
      <pivotArea collapsedLevelsAreSubtotals="1" fieldPosition="0">
        <references count="1">
          <reference field="2" count="0"/>
        </references>
      </pivotArea>
    </format>
    <format dxfId="144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388A1-05B2-47F0-B4A7-D1E4771B05C5}" name="tbl_easeasonpass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8:C22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0" baseItem="0"/>
  </dataFields>
  <formats count="2">
    <format dxfId="147">
      <pivotArea collapsedLevelsAreSubtotals="1" fieldPosition="0">
        <references count="1">
          <reference field="2" count="0"/>
        </references>
      </pivotArea>
    </format>
    <format dxfId="146">
      <pivotArea grandRow="1"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54B623B-CA9C-44B6-8F3B-6D8AB87AD57A}" name="tbl_renovation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3">
  <location ref="B8:C11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h="1"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B4758B5B-B597-4707-A5B7-7618891F01C4}" sourceName="Subscription Type">
  <pivotTables>
    <pivotTable tabId="3" name="tbl_renovation"/>
    <pivotTable tabId="3" name="tbl_easeasonpass"/>
    <pivotTable tabId="3" name="tbl_minecraftpass"/>
  </pivotTables>
  <data>
    <tabular pivotCacheId="99521641">
      <items count="3">
        <i x="1" s="1"/>
        <i x="0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06BC883B-3897-4EB8-A240-DA27E25ACCBE}" cache="SegmentaçãodeDados_Subscription_Type" caption="Subscription Type" rowHeight="3600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61">
  <autoFilter ref="A1:M296" xr:uid="{34E0E886-4200-4B36-97B3-63DB74FF40A0}"/>
  <tableColumns count="13">
    <tableColumn id="1" xr3:uid="{C4A90516-688A-46BF-9167-EA16C2A8A652}" name="Subscriber ID" dataDxfId="160"/>
    <tableColumn id="2" xr3:uid="{53DD39D0-2220-4121-9E9D-4EAA7E151C0F}" name="Name" dataDxfId="159"/>
    <tableColumn id="3" xr3:uid="{4F5FF271-4C57-4BE0-8F2C-F82C8551625C}" name="Plan" dataDxfId="158"/>
    <tableColumn id="4" xr3:uid="{8C17EB93-79B9-4E55-B8F7-BEB82F8253E9}" name="Start Date" dataDxfId="157"/>
    <tableColumn id="5" xr3:uid="{48CEDF9B-1689-482A-A828-5CCE7713264A}" name="Auto Renewal" dataDxfId="156"/>
    <tableColumn id="6" xr3:uid="{78B82374-9AA7-4E38-AE4F-78CDE6C83720}" name="Subscription Price" dataDxfId="155" dataCellStyle="Moeda"/>
    <tableColumn id="7" xr3:uid="{F2433F68-AF33-49D0-B1FB-19A396074EDE}" name="Subscription Type" dataDxfId="154"/>
    <tableColumn id="8" xr3:uid="{FD4D9C95-F6E5-4933-9068-A71FF7DF9343}" name="EA Play Season Pass" dataDxfId="153"/>
    <tableColumn id="13" xr3:uid="{978DD0D2-834E-4CE4-A39B-30976086932F}" name="EA Play Season Pass_x000a_Price" dataDxfId="152" dataCellStyle="Moeda"/>
    <tableColumn id="9" xr3:uid="{6E29F111-C395-4580-9DAD-3407D9E8B1A4}" name="Minecraft Season Pass" dataDxfId="151"/>
    <tableColumn id="10" xr3:uid="{EF544EAA-7F25-4FD5-A10E-8E62804DB9E3}" name="Minecraft Season Pass Price" dataDxfId="150" dataCellStyle="Moeda"/>
    <tableColumn id="11" xr3:uid="{7F6EB64A-1F07-4E48-9F0F-AC7D9DCD26F8}" name="Coupon Value" dataDxfId="149" dataCellStyle="Moeda"/>
    <tableColumn id="12" xr3:uid="{2B04ABC8-DE6F-426E-ADC0-D8AFC68CA58E}" name="Total Value" dataDxfId="148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F24" sqref="F24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H8" sqref="H8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3:G32"/>
  <sheetViews>
    <sheetView showGridLines="0" topLeftCell="A7" workbookViewId="0">
      <selection activeCell="H25" sqref="H25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.88671875" bestFit="1" customWidth="1"/>
    <col min="5" max="5" width="10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3" x14ac:dyDescent="0.3">
      <c r="B3" t="s">
        <v>313</v>
      </c>
    </row>
    <row r="4" spans="2:3" x14ac:dyDescent="0.3">
      <c r="B4" t="s">
        <v>317</v>
      </c>
    </row>
    <row r="6" spans="2:3" x14ac:dyDescent="0.3">
      <c r="B6" s="12" t="s">
        <v>16</v>
      </c>
      <c r="C6" t="s">
        <v>24</v>
      </c>
    </row>
    <row r="8" spans="2:3" x14ac:dyDescent="0.3">
      <c r="B8" s="12" t="s">
        <v>314</v>
      </c>
      <c r="C8" t="s">
        <v>316</v>
      </c>
    </row>
    <row r="9" spans="2:3" x14ac:dyDescent="0.3">
      <c r="B9" s="13" t="s">
        <v>23</v>
      </c>
      <c r="C9" s="14">
        <v>217</v>
      </c>
    </row>
    <row r="10" spans="2:3" x14ac:dyDescent="0.3">
      <c r="B10" s="13" t="s">
        <v>19</v>
      </c>
      <c r="C10" s="14">
        <v>1537</v>
      </c>
    </row>
    <row r="11" spans="2:3" x14ac:dyDescent="0.3">
      <c r="B11" s="13" t="s">
        <v>315</v>
      </c>
      <c r="C11" s="14">
        <v>1754</v>
      </c>
    </row>
    <row r="14" spans="2:3" x14ac:dyDescent="0.3">
      <c r="B14" s="13" t="s">
        <v>319</v>
      </c>
    </row>
    <row r="16" spans="2:3" x14ac:dyDescent="0.3">
      <c r="B16" s="12" t="s">
        <v>16</v>
      </c>
      <c r="C16" t="s">
        <v>24</v>
      </c>
    </row>
    <row r="18" spans="2:7" x14ac:dyDescent="0.3">
      <c r="B18" s="12" t="s">
        <v>314</v>
      </c>
      <c r="C18" t="s">
        <v>320</v>
      </c>
      <c r="G18" s="16">
        <f>GETPIVOTDATA("EA Play Season Pass
Price",$B$18)</f>
        <v>600</v>
      </c>
    </row>
    <row r="19" spans="2:7" x14ac:dyDescent="0.3">
      <c r="B19" s="13" t="s">
        <v>22</v>
      </c>
      <c r="C19" s="15">
        <v>0</v>
      </c>
    </row>
    <row r="20" spans="2:7" x14ac:dyDescent="0.3">
      <c r="B20" s="13" t="s">
        <v>26</v>
      </c>
      <c r="C20" s="15">
        <v>0</v>
      </c>
    </row>
    <row r="21" spans="2:7" x14ac:dyDescent="0.3">
      <c r="B21" s="13" t="s">
        <v>18</v>
      </c>
      <c r="C21" s="15">
        <v>600</v>
      </c>
    </row>
    <row r="22" spans="2:7" x14ac:dyDescent="0.3">
      <c r="B22" s="13" t="s">
        <v>315</v>
      </c>
      <c r="C22" s="15">
        <v>600</v>
      </c>
    </row>
    <row r="24" spans="2:7" x14ac:dyDescent="0.3">
      <c r="B24" s="13" t="s">
        <v>321</v>
      </c>
    </row>
    <row r="26" spans="2:7" x14ac:dyDescent="0.3">
      <c r="B26" s="12" t="s">
        <v>16</v>
      </c>
      <c r="C26" t="s">
        <v>24</v>
      </c>
    </row>
    <row r="28" spans="2:7" x14ac:dyDescent="0.3">
      <c r="B28" s="12" t="s">
        <v>314</v>
      </c>
      <c r="C28" t="s">
        <v>322</v>
      </c>
    </row>
    <row r="29" spans="2:7" x14ac:dyDescent="0.3">
      <c r="B29" s="13" t="s">
        <v>22</v>
      </c>
      <c r="C29" s="15">
        <v>0</v>
      </c>
    </row>
    <row r="30" spans="2:7" x14ac:dyDescent="0.3">
      <c r="B30" s="13" t="s">
        <v>26</v>
      </c>
      <c r="C30" s="15">
        <v>540</v>
      </c>
      <c r="G30" s="16">
        <f>GETPIVOTDATA("Minecraft Season Pass Price",$B$28)</f>
        <v>940</v>
      </c>
    </row>
    <row r="31" spans="2:7" x14ac:dyDescent="0.3">
      <c r="B31" s="13" t="s">
        <v>18</v>
      </c>
      <c r="C31" s="15">
        <v>400</v>
      </c>
    </row>
    <row r="32" spans="2:7" x14ac:dyDescent="0.3">
      <c r="B32" s="13" t="s">
        <v>315</v>
      </c>
      <c r="C32" s="15">
        <v>940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1:I137"/>
  <sheetViews>
    <sheetView showGridLines="0" showRowColHeaders="0" tabSelected="1" zoomScale="80" zoomScaleNormal="80" workbookViewId="0">
      <selection activeCell="T14" sqref="T14"/>
    </sheetView>
  </sheetViews>
  <sheetFormatPr defaultRowHeight="14.4" x14ac:dyDescent="0.3"/>
  <cols>
    <col min="1" max="1" width="31.77734375" style="4" customWidth="1"/>
    <col min="2" max="2" width="9.33203125" customWidth="1"/>
    <col min="3" max="3" width="57.88671875" bestFit="1" customWidth="1"/>
    <col min="11" max="11" width="8.88671875" customWidth="1"/>
    <col min="12" max="12" width="6.5546875" customWidth="1"/>
  </cols>
  <sheetData>
    <row r="1" spans="1:9" ht="39" customHeight="1" x14ac:dyDescent="0.3"/>
    <row r="2" spans="1:9" ht="34.799999999999997" customHeight="1" thickBot="1" x14ac:dyDescent="0.6">
      <c r="C2" s="20" t="s">
        <v>318</v>
      </c>
      <c r="D2" s="19"/>
    </row>
    <row r="3" spans="1:9" ht="10.199999999999999" customHeight="1" x14ac:dyDescent="0.3"/>
    <row r="4" spans="1:9" ht="33" customHeight="1" x14ac:dyDescent="0.3">
      <c r="I4" s="18"/>
    </row>
    <row r="5" spans="1:9" s="7" customFormat="1" x14ac:dyDescent="0.3">
      <c r="A5" s="4"/>
    </row>
    <row r="6" spans="1:9" s="7" customFormat="1" x14ac:dyDescent="0.3">
      <c r="A6" s="4"/>
    </row>
    <row r="7" spans="1:9" s="7" customFormat="1" x14ac:dyDescent="0.3">
      <c r="A7" s="4"/>
      <c r="F7" s="17"/>
    </row>
    <row r="8" spans="1:9" s="7" customFormat="1" x14ac:dyDescent="0.3">
      <c r="A8" s="4"/>
    </row>
    <row r="9" spans="1:9" s="7" customFormat="1" x14ac:dyDescent="0.3">
      <c r="A9" s="4"/>
    </row>
    <row r="10" spans="1:9" s="7" customFormat="1" x14ac:dyDescent="0.3">
      <c r="A10" s="4"/>
    </row>
    <row r="11" spans="1:9" s="7" customFormat="1" x14ac:dyDescent="0.3">
      <c r="A11" s="4"/>
    </row>
    <row r="12" spans="1:9" s="7" customFormat="1" x14ac:dyDescent="0.3">
      <c r="A12" s="4"/>
    </row>
    <row r="13" spans="1:9" s="7" customFormat="1" x14ac:dyDescent="0.3">
      <c r="A13" s="4"/>
    </row>
    <row r="14" spans="1:9" s="7" customFormat="1" x14ac:dyDescent="0.3">
      <c r="A14" s="4"/>
    </row>
    <row r="15" spans="1:9" s="7" customFormat="1" x14ac:dyDescent="0.3">
      <c r="A15" s="4"/>
    </row>
    <row r="16" spans="1: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  <row r="137" spans="1:1" s="7" customFormat="1" x14ac:dyDescent="0.3">
      <c r="A137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IBFC Instituto</cp:lastModifiedBy>
  <dcterms:created xsi:type="dcterms:W3CDTF">2024-12-19T13:13:10Z</dcterms:created>
  <dcterms:modified xsi:type="dcterms:W3CDTF">2026-10-14T17:45:49Z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